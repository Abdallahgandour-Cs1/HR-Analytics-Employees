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0F858828-0B63-443E-BBEC-15750798DAD9}" xr6:coauthVersionLast="47" xr6:coauthVersionMax="47" xr10:uidLastSave="{00000000-0000-0000-0000-000000000000}"/>
  <bookViews>
    <workbookView xWindow="-120" yWindow="-120" windowWidth="29040" windowHeight="15720" firstSheet="2" activeTab="8" xr2:uid="{00000000-000D-0000-FFFF-FFFF00000000}"/>
  </bookViews>
  <sheets>
    <sheet name="HR_Analytics" sheetId="1" r:id="rId1"/>
    <sheet name="Headcount by Department" sheetId="3" r:id="rId2"/>
    <sheet name="Average Salary by Department" sheetId="4" r:id="rId3"/>
    <sheet name="Performance Distribution" sheetId="5" r:id="rId4"/>
    <sheet name="Employees by Work Location" sheetId="6" r:id="rId5"/>
    <sheet name="Overtime Analysis" sheetId="7" r:id="rId6"/>
    <sheet name="KPI" sheetId="8" r:id="rId7"/>
    <sheet name="Sheet1" sheetId="2" r:id="rId8"/>
    <sheet name="Dashboard" sheetId="10" r:id="rId9"/>
  </sheets>
  <definedNames>
    <definedName name="ExternalData_1" localSheetId="7" hidden="1">Sheet1!$A$1:$P$501</definedName>
    <definedName name="Slicer_Department">#N/A</definedName>
    <definedName name="Slicer_Gender">#N/A</definedName>
    <definedName name="Slicer_Overtime">#N/A</definedName>
    <definedName name="Slicer_WorkLocation">#N/A</definedName>
  </definedNames>
  <calcPr calcId="181029"/>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5" i="8" l="1"/>
  <c r="B24" i="8"/>
  <c r="B23" i="8"/>
  <c r="B22" i="8"/>
  <c r="B21"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E48EC6-98DF-4F8A-AA76-8D390767BD34}"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<sst xmlns="http://schemas.openxmlformats.org/spreadsheetml/2006/main" count="7590" uniqueCount="69">
  <si>
    <t>EmployeeID</t>
  </si>
  <si>
    <t>HireDate</t>
  </si>
  <si>
    <t>Department</t>
  </si>
  <si>
    <t>JobRole</t>
  </si>
  <si>
    <t>Gender</t>
  </si>
  <si>
    <t>Age</t>
  </si>
  <si>
    <t>MonthlySalary</t>
  </si>
  <si>
    <t>YearsAtCompany</t>
  </si>
  <si>
    <t>PerformanceRating</t>
  </si>
  <si>
    <t>Overtime</t>
  </si>
  <si>
    <t>WorkLocation</t>
  </si>
  <si>
    <t>Manager</t>
  </si>
  <si>
    <t>Sales</t>
  </si>
  <si>
    <t>Sales Executive</t>
  </si>
  <si>
    <t>Male</t>
  </si>
  <si>
    <t>Yes</t>
  </si>
  <si>
    <t>Remote</t>
  </si>
  <si>
    <t>Khaled Samir</t>
  </si>
  <si>
    <t>Finance</t>
  </si>
  <si>
    <t>Financial Analyst</t>
  </si>
  <si>
    <t>No</t>
  </si>
  <si>
    <t>Mona Ali</t>
  </si>
  <si>
    <t>Operations</t>
  </si>
  <si>
    <t>Operations Officer</t>
  </si>
  <si>
    <t>Female</t>
  </si>
  <si>
    <t>Sara Adel</t>
  </si>
  <si>
    <t>Accountant</t>
  </si>
  <si>
    <t>Hybrid</t>
  </si>
  <si>
    <t>Marketing</t>
  </si>
  <si>
    <t>Marketing Specialist</t>
  </si>
  <si>
    <t>HR</t>
  </si>
  <si>
    <t>HR Executive</t>
  </si>
  <si>
    <t>Onsite</t>
  </si>
  <si>
    <t>Content Creator</t>
  </si>
  <si>
    <t>Ahmed Hassan</t>
  </si>
  <si>
    <t>Supply Chain Analyst</t>
  </si>
  <si>
    <t>IT</t>
  </si>
  <si>
    <t>Software Engineer</t>
  </si>
  <si>
    <t>Recruiter</t>
  </si>
  <si>
    <t>Youssef Mahmoud</t>
  </si>
  <si>
    <t>IT Support</t>
  </si>
  <si>
    <t>Sales Manager</t>
  </si>
  <si>
    <t>Data Analyst</t>
  </si>
  <si>
    <t>Annual Salary</t>
  </si>
  <si>
    <t>Age Group</t>
  </si>
  <si>
    <t>Under 30</t>
  </si>
  <si>
    <t>30-45</t>
  </si>
  <si>
    <t>Above 45</t>
  </si>
  <si>
    <t>Experience Level</t>
  </si>
  <si>
    <t>Performance Category</t>
  </si>
  <si>
    <t>Mid</t>
  </si>
  <si>
    <t>Low</t>
  </si>
  <si>
    <t>Senior</t>
  </si>
  <si>
    <t>Hight</t>
  </si>
  <si>
    <t>Junior</t>
  </si>
  <si>
    <t>Medium</t>
  </si>
  <si>
    <t>Row Labels</t>
  </si>
  <si>
    <t>Grand Total</t>
  </si>
  <si>
    <t>Count of EmployeeID</t>
  </si>
  <si>
    <t>Average of Annual Salary</t>
  </si>
  <si>
    <t>Column Labels</t>
  </si>
  <si>
    <t>Average Performance Rating</t>
  </si>
  <si>
    <t>Average  Annual Salary</t>
  </si>
  <si>
    <t>Total Emloyees</t>
  </si>
  <si>
    <t>Count of WorkLocation</t>
  </si>
  <si>
    <t>Total Employees</t>
  </si>
  <si>
    <t>Average Salary</t>
  </si>
  <si>
    <t>Percentage Overtime Employees</t>
  </si>
  <si>
    <t>Percentage Senior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</si>
</sst>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mm:ss"/>
    <numFmt numFmtId="165" formatCode="[$$-409]#,##0"/>
  </numFmts>
  <fonts count="3" x14ac:knownFonts="1">
    <font>
      <sz val="11"/>
      <color theme="1"/>
      <name val="Arial"/>
      <family val="2"/>
      <scheme val="minor"/>
    </font>
    <font>
      <sz val="8"/>
      <name val="Arial"/>
      <family val="2"/>
      <scheme val="minor"/>
    </font>
    <font>
      <b/>
      <sz val="11"/>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0" fontId="2" fillId="0" borderId="0" xfId="0" applyFont="1"/>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5" formatCode="[$$-409]#,##0"/>
    </dxf>
    <dxf>
      <numFmt numFmtId="164" formatCode="yyyy\-mm\-dd\ 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[HR_Analytics_500_Employees.xlsx]Headcount by Department!PivotTable1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Headcount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'Headcount by Department'!$A$4:$A$10</c:f>
              <c:strCache>
                <c:ptCount val="6"/>
                <c:pt idx="0">
                  <c:v>Finance</c:v>
                </c:pt>
                <c:pt idx="1">
                  <c:v>HR</c:v>
                </c:pt>
                <c:pt idx="2">
                  <c:v>IT</c:v>
                </c:pt>
                <c:pt idx="3">
                  <c:v>Marketing</c:v>
                </c:pt>
                <c:pt idx="4">
                  <c:v>Operations</c:v>
                </c:pt>
                <c:pt idx="5">
                  <c:v>Sales</c:v>
                </c:pt>
              </c:strCache>
            </c:strRef>
          </c:cat>
          <c:val>
            <c:numRef>
              <c:f>'Headcount by Department'!$B$4:$B$10</c:f>
              <c:numCache>
                <c:formatCode>General</c:formatCode>
                <c:ptCount val="6"/>
                <c:pt idx="0">
                  <c:v>93</c:v>
                </c:pt>
                <c:pt idx="1">
                  <c:v>84</c:v>
                </c:pt>
                <c:pt idx="2">
                  <c:v>79</c:v>
                </c:pt>
                <c:pt idx="3">
                  <c:v>81</c:v>
                </c:pt>
                <c:pt idx="4">
                  <c:v>72</c:v>
                </c:pt>
                <c:pt idx="5">
                  <c:v>91</c:v>
                </c:pt>
              </c:numCache>
            </c:numRef>
          </c:val>
          <c:extLst>
            <c:ext xmlns:c16="http://schemas.microsoft.com/office/drawing/2014/chart" uri="{C3380CC4-5D6E-409C-BE32-E72D297353CC}">
              <c16:uniqueId val="{00000000-F724-4230-AE43-D5E9CB37FC1B}"/>
            </c:ext>
          </c:extLst>
        </c:ser>
        <c:dLbls>
          <c:dLblPos val="outEnd"/>
          <c:showLegendKey val="0"/>
          <c:showVal val="1"/>
          <c:showCatName val="0"/>
          <c:showSerName val="0"/>
          <c:showPercent val="0"/>
          <c:showBubbleSize val="0"/>
        </c:dLbls>
        <c:gapWidth val="219"/>
        <c:overlap val="-27"/>
        <c:axId val="529334303"/>
        <c:axId val="529343903"/>
      </c:barChart>
      <c:catAx>
        <c:axId val="52933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343903"/>
        <c:crosses val="autoZero"/>
        <c:auto val="1"/>
        <c:lblAlgn val="ctr"/>
        <c:lblOffset val="100"/>
        <c:noMultiLvlLbl val="0"/>
      </c:catAx>
      <c:valAx>
        <c:axId val="5293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3343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[HR_Analytics_500_Employees.xlsx]Average Salary by Department!PivotTable2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a:effectLst/>
              </a:rPr>
              <a:t>Average Salary by Department</a:t>
            </a:r>
            <a:endParaRPr lang="en-US" sz="18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Salary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Department'!$A$4:$A$10</c:f>
              <c:strCache>
                <c:ptCount val="6"/>
                <c:pt idx="0">
                  <c:v>Finance</c:v>
                </c:pt>
                <c:pt idx="1">
                  <c:v>HR</c:v>
                </c:pt>
                <c:pt idx="2">
                  <c:v>IT</c:v>
                </c:pt>
                <c:pt idx="3">
                  <c:v>Marketing</c:v>
                </c:pt>
                <c:pt idx="4">
                  <c:v>Operations</c:v>
                </c:pt>
                <c:pt idx="5">
                  <c:v>Sales</c:v>
                </c:pt>
              </c:strCache>
            </c:strRef>
          </c:cat>
          <c:val>
            <c:numRef>
              <c:f>'Average Salary by Department'!$B$4:$B$10</c:f>
              <c:numCache>
                <c:formatCode>[$$-409]#,##0</c:formatCode>
                <c:ptCount val="6"/>
                <c:pt idx="0">
                  <c:v>147421.93548387097</c:v>
                </c:pt>
                <c:pt idx="1">
                  <c:v>141493.42857142858</c:v>
                </c:pt>
                <c:pt idx="2">
                  <c:v>146147.54430379748</c:v>
                </c:pt>
                <c:pt idx="3">
                  <c:v>140156</c:v>
                </c:pt>
                <c:pt idx="4">
                  <c:v>150629.33333333334</c:v>
                </c:pt>
                <c:pt idx="5">
                  <c:v>141845.8021978022</c:v>
                </c:pt>
              </c:numCache>
            </c:numRef>
          </c:val>
          <c:extLst>
            <c:ext xmlns:c16="http://schemas.microsoft.com/office/drawing/2014/chart" uri="{C3380CC4-5D6E-409C-BE32-E72D297353CC}">
              <c16:uniqueId val="{00000000-4A0F-457F-B0EA-494240DB8656}"/>
            </c:ext>
          </c:extLst>
        </c:ser>
        <c:dLbls>
          <c:dLblPos val="outEnd"/>
          <c:showLegendKey val="0"/>
          <c:showVal val="1"/>
          <c:showCatName val="0"/>
          <c:showSerName val="0"/>
          <c:showPercent val="0"/>
          <c:showBubbleSize val="0"/>
        </c:dLbls>
        <c:gapWidth val="182"/>
        <c:axId val="529285343"/>
        <c:axId val="529286783"/>
      </c:barChart>
      <c:catAx>
        <c:axId val="52928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286783"/>
        <c:crosses val="autoZero"/>
        <c:auto val="1"/>
        <c:lblAlgn val="ctr"/>
        <c:lblOffset val="100"/>
        <c:noMultiLvlLbl val="0"/>
      </c:catAx>
      <c:valAx>
        <c:axId val="52928678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2853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[HR_Analytics_500_Employees.xlsx]Performance Distribution!PivotTable3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Performance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'Performance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4C-481A-8246-0140BEB8DE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4C-481A-8246-0140BEB8DE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4C-481A-8246-0140BEB8DE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Distribution'!$A$4:$A$7</c:f>
              <c:strCache>
                <c:ptCount val="3"/>
                <c:pt idx="0">
                  <c:v>Hight</c:v>
                </c:pt>
                <c:pt idx="1">
                  <c:v>Low</c:v>
                </c:pt>
                <c:pt idx="2">
                  <c:v>Medium</c:v>
                </c:pt>
              </c:strCache>
            </c:strRef>
          </c:cat>
          <c:val>
            <c:numRef>
              <c:f>'Performance Distribution'!$B$4:$B$7</c:f>
              <c:numCache>
                <c:formatCode>General</c:formatCode>
                <c:ptCount val="3"/>
                <c:pt idx="0">
                  <c:v>207</c:v>
                </c:pt>
                <c:pt idx="1">
                  <c:v>213</c:v>
                </c:pt>
                <c:pt idx="2">
                  <c:v>80</c:v>
                </c:pt>
              </c:numCache>
            </c:numRef>
          </c:val>
          <c:extLst>
            <c:ext xmlns:c16="http://schemas.microsoft.com/office/drawing/2014/chart" uri="{C3380CC4-5D6E-409C-BE32-E72D297353CC}">
              <c16:uniqueId val="{00000000-7298-4165-84A1-6728F596EDFD}"/>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[HR_Analytics_500_Employees.xlsx]Employees by Work Location!PivotTable18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Employees by Work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0630464788631667"/>
          <c:y val="0.14288016769243375"/>
          <c:w val="0.59981977729623037"/>
          <c:h val="0.60642936161905381"/>
        </c:manualLayout>
      </c:layout>
      <c:pieChart>
        <c:varyColors val="1"/>
        <c:ser>
          <c:idx val="0"/>
          <c:order val="0"/>
          <c:tx>
            <c:strRef>
              <c:f>'Employees by Work 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54-4B8D-864F-0211559623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54-4B8D-864F-0211559623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54-4B8D-864F-0211559623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'Employees by Work Location'!$A$4:$A$7</c:f>
              <c:strCache>
                <c:ptCount val="3"/>
                <c:pt idx="0">
                  <c:v>Hybrid</c:v>
                </c:pt>
                <c:pt idx="1">
                  <c:v>Onsite</c:v>
                </c:pt>
                <c:pt idx="2">
                  <c:v>Remote</c:v>
                </c:pt>
              </c:strCache>
            </c:strRef>
          </c:cat>
          <c:val>
            <c:numRef>
              <c:f>'Employees by Work Location'!$B$4:$B$7</c:f>
              <c:numCache>
                <c:formatCode>General</c:formatCode>
                <c:ptCount val="3"/>
                <c:pt idx="0">
                  <c:v>157</c:v>
                </c:pt>
                <c:pt idx="1">
                  <c:v>176</c:v>
                </c:pt>
                <c:pt idx="2">
                  <c:v>167</c:v>
                </c:pt>
              </c:numCache>
            </c:numRef>
          </c:val>
          <c:extLst>
            <c:ext xmlns:c16="http://schemas.microsoft.com/office/drawing/2014/chart" uri="{C3380CC4-5D6E-409C-BE32-E72D297353CC}">
              <c16:uniqueId val="{00000000-4240-429C-89F5-1AEE16E92F09}"/>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0.41780199818346958"/>
          <c:y val="0.77063439369308817"/>
          <c:w val="0.20526328222126503"/>
          <c:h val="0.17494086125214472"/>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[HR_Analytics_500_Employees.xlsx]Overtime Analysis!PivotTable19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Overtime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'Overtime 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Analysis'!$A$5:$A$11</c:f>
              <c:strCache>
                <c:ptCount val="6"/>
                <c:pt idx="0">
                  <c:v>Finance</c:v>
                </c:pt>
                <c:pt idx="1">
                  <c:v>HR</c:v>
                </c:pt>
                <c:pt idx="2">
                  <c:v>IT</c:v>
                </c:pt>
                <c:pt idx="3">
                  <c:v>Marketing</c:v>
                </c:pt>
                <c:pt idx="4">
                  <c:v>Operations</c:v>
                </c:pt>
                <c:pt idx="5">
                  <c:v>Sales</c:v>
                </c:pt>
              </c:strCache>
            </c:strRef>
          </c:cat>
          <c:val>
            <c:numRef>
              <c:f>'Overtime Analysis'!$B$5:$B$11</c:f>
              <c:numCache>
                <c:formatCode>General</c:formatCode>
                <c:ptCount val="6"/>
                <c:pt idx="0">
                  <c:v>49</c:v>
                </c:pt>
                <c:pt idx="1">
                  <c:v>41</c:v>
                </c:pt>
                <c:pt idx="2">
                  <c:v>38</c:v>
                </c:pt>
                <c:pt idx="3">
                  <c:v>37</c:v>
                </c:pt>
                <c:pt idx="4">
                  <c:v>43</c:v>
                </c:pt>
                <c:pt idx="5">
                  <c:v>43</c:v>
                </c:pt>
              </c:numCache>
            </c:numRef>
          </c:val>
          <c:extLst>
            <c:ext xmlns:c16="http://schemas.microsoft.com/office/drawing/2014/chart" uri="{C3380CC4-5D6E-409C-BE32-E72D297353CC}">
              <c16:uniqueId val="{00000000-DF23-495A-A713-41436226F10D}"/>
            </c:ext>
          </c:extLst>
        </c:ser>
        <c:ser>
          <c:idx val="1"/>
          <c:order val="1"/>
          <c:tx>
            <c:strRef>
              <c:f>'Overtime Analysis'!$C$3:$C$4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Analysis'!$A$5:$A$11</c:f>
              <c:strCache>
                <c:ptCount val="6"/>
                <c:pt idx="0">
                  <c:v>Finance</c:v>
                </c:pt>
                <c:pt idx="1">
                  <c:v>HR</c:v>
                </c:pt>
                <c:pt idx="2">
                  <c:v>IT</c:v>
                </c:pt>
                <c:pt idx="3">
                  <c:v>Marketing</c:v>
                </c:pt>
                <c:pt idx="4">
                  <c:v>Operations</c:v>
                </c:pt>
                <c:pt idx="5">
                  <c:v>Sales</c:v>
                </c:pt>
              </c:strCache>
            </c:strRef>
          </c:cat>
          <c:val>
            <c:numRef>
              <c:f>'Overtime Analysis'!$C$5:$C$11</c:f>
              <c:numCache>
                <c:formatCode>General</c:formatCode>
                <c:ptCount val="6"/>
                <c:pt idx="0">
                  <c:v>44</c:v>
                </c:pt>
                <c:pt idx="1">
                  <c:v>43</c:v>
                </c:pt>
                <c:pt idx="2">
                  <c:v>41</c:v>
                </c:pt>
                <c:pt idx="3">
                  <c:v>44</c:v>
                </c:pt>
                <c:pt idx="4">
                  <c:v>29</c:v>
                </c:pt>
                <c:pt idx="5">
                  <c:v>48</c:v>
                </c:pt>
              </c:numCache>
            </c:numRef>
          </c:val>
          <c:extLst>
            <c:ext xmlns:c16="http://schemas.microsoft.com/office/drawing/2014/chart" uri="{C3380CC4-5D6E-409C-BE32-E72D297353CC}">
              <c16:uniqueId val="{00000000-F82B-4521-B9E2-B7FA4B3AFE81}"/>
            </c:ext>
          </c:extLst>
        </c:ser>
        <c:dLbls>
          <c:dLblPos val="ctr"/>
          <c:showLegendKey val="0"/>
          <c:showVal val="1"/>
          <c:showCatName val="0"/>
          <c:showSerName val="0"/>
          <c:showPercent val="0"/>
          <c:showBubbleSize val="0"/>
        </c:dLbls>
        <c:gapWidth val="150"/>
        <c:overlap val="100"/>
        <c:axId val="897045055"/>
        <c:axId val="897037855"/>
      </c:barChart>
      <c:catAx>
        <c:axId val="8970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7037855"/>
        <c:crosses val="autoZero"/>
        <c:auto val="1"/>
        <c:lblAlgn val="ctr"/>
        <c:lblOffset val="100"/>
        <c:noMultiLvlLbl val="0"/>
      </c:catAx>
      <c:valAx>
        <c:axId val="89703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70450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[HR_Analytics_500_Employees.xlsx]Employees by Work Location!PivotTable18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Employees by Work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0.21285978184271953"/>
          <c:y val="0.14470806339081033"/>
          <c:w val="0.58727607292966544"/>
          <c:h val="0.52185813482175492"/>
        </c:manualLayout>
      </c:layout>
      <c:pieChart>
        <c:varyColors val="1"/>
        <c:ser>
          <c:idx val="0"/>
          <c:order val="0"/>
          <c:tx>
            <c:strRef>
              <c:f>'Employees by Work Location'!$B$3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F2-4BC3-A0D0-1FCB3B229B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F2-4BC3-A0D0-1FCB3B229B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F2-4BC3-A0D0-1FCB3B229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'Employees by Work Location'!$A$4:$A$7</c:f>
              <c:strCache>
                <c:ptCount val="3"/>
                <c:pt idx="0">
                  <c:v>Hybrid</c:v>
                </c:pt>
                <c:pt idx="1">
                  <c:v>Onsite</c:v>
                </c:pt>
                <c:pt idx="2">
                  <c:v>Remote</c:v>
                </c:pt>
              </c:strCache>
            </c:strRef>
          </c:cat>
          <c:val>
            <c:numRef>
              <c:f>'Employees by Work Location'!$B$4:$B$7</c:f>
              <c:numCache>
                <c:formatCode>General</c:formatCode>
                <c:ptCount val="3"/>
                <c:pt idx="0">
                  <c:v>157</c:v>
                </c:pt>
                <c:pt idx="1">
                  <c:v>176</c:v>
                </c:pt>
                <c:pt idx="2">
                  <c:v>167</c:v>
                </c:pt>
              </c:numCache>
            </c:numRef>
          </c:val>
          <c:extLst>
            <c:ext xmlns:c16="http://schemas.microsoft.com/office/drawing/2014/chart" uri="{C3380CC4-5D6E-409C-BE32-E72D297353CC}">
              <c16:uniqueId val="{00000006-31F2-4BC3-A0D0-1FCB3B229BC8}"/>
            </c:ext>
          </c:extLst>
        </c:ser>
        <c:dLbls>
          <c:dLblPos val="bestFit"/>
          <c:showLegendKey val="0"/>
          <c:showVal val="1"/>
          <c:showCatName val="0"/>
          <c:showSerName val="0"/>
          <c:showPercent val="0"/>
          <c:showBubbleSize val="0"/>
          <c:showLeaderLines val="1"/>
        </c:dLbls>
        <c:firstSliceAng val="360"/>
      </c:pieChart>
      <c:spPr>
        <a:noFill/>
        <a:ln>
          <a:noFill/>
        </a:ln>
        <a:effectLst/>
      </c:spPr>
    </c:plotArea>
    <c:legend>
      <c:legendPos val="l"/>
      <c:layout>
        <c:manualLayout>
          <c:xMode val="edge"/>
          <c:yMode val="edge"/>
          <c:x val="0.41025628754550925"/>
          <c:y val="0.75382517691617656"/>
          <c:w val="0.21052644172960891"/>
          <c:h val="0.20151420312967208"/>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[HR_Analytics_500_Employees.xlsx]Performance Distribution!PivotTable3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Performance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0403975144132624"/>
          <c:y val="0.18833261513952548"/>
          <c:w val="0.59286942790687747"/>
          <c:h val="0.48081059098381934"/>
        </c:manualLayout>
      </c:layout>
      <c:doughnutChart>
        <c:varyColors val="1"/>
        <c:ser>
          <c:idx val="0"/>
          <c:order val="0"/>
          <c:tx>
            <c:strRef>
              <c:f>'Performance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7B-4AB1-814C-31A6B988EC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7B-4AB1-814C-31A6B988EC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7B-4AB1-814C-31A6B988EC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Distribution'!$A$4:$A$7</c:f>
              <c:strCache>
                <c:ptCount val="3"/>
                <c:pt idx="0">
                  <c:v>Hight</c:v>
                </c:pt>
                <c:pt idx="1">
                  <c:v>Low</c:v>
                </c:pt>
                <c:pt idx="2">
                  <c:v>Medium</c:v>
                </c:pt>
              </c:strCache>
            </c:strRef>
          </c:cat>
          <c:val>
            <c:numRef>
              <c:f>'Performance Distribution'!$B$4:$B$7</c:f>
              <c:numCache>
                <c:formatCode>General</c:formatCode>
                <c:ptCount val="3"/>
                <c:pt idx="0">
                  <c:v>207</c:v>
                </c:pt>
                <c:pt idx="1">
                  <c:v>213</c:v>
                </c:pt>
                <c:pt idx="2">
                  <c:v>80</c:v>
                </c:pt>
              </c:numCache>
            </c:numRef>
          </c:val>
          <c:extLst>
            <c:ext xmlns:c16="http://schemas.microsoft.com/office/drawing/2014/chart" uri="{C3380CC4-5D6E-409C-BE32-E72D297353CC}">
              <c16:uniqueId val="{00000006-647B-4AB1-814C-31A6B988EC9D}"/>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l"/>
      <c:layout>
        <c:manualLayout>
          <c:xMode val="edge"/>
          <c:yMode val="edge"/>
          <c:x val="0.39728529660288198"/>
          <c:y val="0.75013880727595617"/>
          <c:w val="0.20990433106430803"/>
          <c:h val="0.17494090161806697"/>
        </c:manualLayout>
      </c:layout>
      <c:overlay val="0"/>
      <c:spPr>
        <a:noFill/>
        <a:ln>
          <a:noFill/>
        </a:ln>
        <a:effectLst/>
      </c:spPr>
      <c:txPr>
        <a:bodyPr rot="0" spcFirstLastPara="1" vertOverflow="ellipsis" vert="horz" wrap="square" anchor="ctr" anchorCtr="1"/>
        <a:lstStyle/>
        <a:p>
          <a:pPr>
            <a:defRPr sz="115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[HR_Analytics_500_Employees.xlsx]Headcount by Department!PivotTable1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Headcount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'Headcount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'Headcount by Department'!$A$4:$A$10</c:f>
              <c:strCache>
                <c:ptCount val="6"/>
                <c:pt idx="0">
                  <c:v>Finance</c:v>
                </c:pt>
                <c:pt idx="1">
                  <c:v>HR</c:v>
                </c:pt>
                <c:pt idx="2">
                  <c:v>IT</c:v>
                </c:pt>
                <c:pt idx="3">
                  <c:v>Marketing</c:v>
                </c:pt>
                <c:pt idx="4">
                  <c:v>Operations</c:v>
                </c:pt>
                <c:pt idx="5">
                  <c:v>Sales</c:v>
                </c:pt>
              </c:strCache>
            </c:strRef>
          </c:cat>
          <c:val>
            <c:numRef>
              <c:f>'Headcount by Department'!$B$4:$B$10</c:f>
              <c:numCache>
                <c:formatCode>General</c:formatCode>
                <c:ptCount val="6"/>
                <c:pt idx="0">
                  <c:v>93</c:v>
                </c:pt>
                <c:pt idx="1">
                  <c:v>84</c:v>
                </c:pt>
                <c:pt idx="2">
                  <c:v>79</c:v>
                </c:pt>
                <c:pt idx="3">
                  <c:v>81</c:v>
                </c:pt>
                <c:pt idx="4">
                  <c:v>72</c:v>
                </c:pt>
                <c:pt idx="5">
                  <c:v>91</c:v>
                </c:pt>
              </c:numCache>
            </c:numRef>
          </c:val>
          <c:extLst>
            <c:ext xmlns:c16="http://schemas.microsoft.com/office/drawing/2014/chart" uri="{C3380CC4-5D6E-409C-BE32-E72D297353CC}">
              <c16:uniqueId val="{00000000-3FA6-46ED-8035-7D5C36823D86}"/>
            </c:ext>
          </c:extLst>
        </c:ser>
        <c:dLbls>
          <c:dLblPos val="outEnd"/>
          <c:showLegendKey val="0"/>
          <c:showVal val="1"/>
          <c:showCatName val="0"/>
          <c:showSerName val="0"/>
          <c:showPercent val="0"/>
          <c:showBubbleSize val="0"/>
        </c:dLbls>
        <c:gapWidth val="219"/>
        <c:overlap val="-27"/>
        <c:axId val="529334303"/>
        <c:axId val="529343903"/>
      </c:barChart>
      <c:catAx>
        <c:axId val="529334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343903"/>
        <c:crosses val="autoZero"/>
        <c:auto val="1"/>
        <c:lblAlgn val="ctr"/>
        <c:lblOffset val="100"/>
        <c:noMultiLvlLbl val="0"/>
      </c:catAx>
      <c:valAx>
        <c:axId val="5293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33430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[HR_Analytics_500_Employees.xlsx]Overtime Analysis!PivotTable19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Overtime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'Overtime Analysis'!$B$3:$B$4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Analysis'!$A$5:$A$11</c:f>
              <c:strCache>
                <c:ptCount val="6"/>
                <c:pt idx="0">
                  <c:v>Finance</c:v>
                </c:pt>
                <c:pt idx="1">
                  <c:v>HR</c:v>
                </c:pt>
                <c:pt idx="2">
                  <c:v>IT</c:v>
                </c:pt>
                <c:pt idx="3">
                  <c:v>Marketing</c:v>
                </c:pt>
                <c:pt idx="4">
                  <c:v>Operations</c:v>
                </c:pt>
                <c:pt idx="5">
                  <c:v>Sales</c:v>
                </c:pt>
              </c:strCache>
            </c:strRef>
          </c:cat>
          <c:val>
            <c:numRef>
              <c:f>'Overtime Analysis'!$B$5:$B$11</c:f>
              <c:numCache>
                <c:formatCode>General</c:formatCode>
                <c:ptCount val="6"/>
                <c:pt idx="0">
                  <c:v>49</c:v>
                </c:pt>
                <c:pt idx="1">
                  <c:v>41</c:v>
                </c:pt>
                <c:pt idx="2">
                  <c:v>38</c:v>
                </c:pt>
                <c:pt idx="3">
                  <c:v>37</c:v>
                </c:pt>
                <c:pt idx="4">
                  <c:v>43</c:v>
                </c:pt>
                <c:pt idx="5">
                  <c:v>43</c:v>
                </c:pt>
              </c:numCache>
            </c:numRef>
          </c:val>
          <c:extLst>
            <c:ext xmlns:c16="http://schemas.microsoft.com/office/drawing/2014/chart" uri="{C3380CC4-5D6E-409C-BE32-E72D297353CC}">
              <c16:uniqueId val="{00000000-2F11-4CE2-9263-23A375C455CC}"/>
            </c:ext>
          </c:extLst>
        </c:ser>
        <c:ser>
          <c:idx val="1"/>
          <c:order val="1"/>
          <c:tx>
            <c:strRef>
              <c:f>'Overtime Analysis'!$C$3:$C$4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'Overtime Analysis'!$A$5:$A$11</c:f>
              <c:strCache>
                <c:ptCount val="6"/>
                <c:pt idx="0">
                  <c:v>Finance</c:v>
                </c:pt>
                <c:pt idx="1">
                  <c:v>HR</c:v>
                </c:pt>
                <c:pt idx="2">
                  <c:v>IT</c:v>
                </c:pt>
                <c:pt idx="3">
                  <c:v>Marketing</c:v>
                </c:pt>
                <c:pt idx="4">
                  <c:v>Operations</c:v>
                </c:pt>
                <c:pt idx="5">
                  <c:v>Sales</c:v>
                </c:pt>
              </c:strCache>
            </c:strRef>
          </c:cat>
          <c:val>
            <c:numRef>
              <c:f>'Overtime Analysis'!$C$5:$C$11</c:f>
              <c:numCache>
                <c:formatCode>General</c:formatCode>
                <c:ptCount val="6"/>
                <c:pt idx="0">
                  <c:v>44</c:v>
                </c:pt>
                <c:pt idx="1">
                  <c:v>43</c:v>
                </c:pt>
                <c:pt idx="2">
                  <c:v>41</c:v>
                </c:pt>
                <c:pt idx="3">
                  <c:v>44</c:v>
                </c:pt>
                <c:pt idx="4">
                  <c:v>29</c:v>
                </c:pt>
                <c:pt idx="5">
                  <c:v>48</c:v>
                </c:pt>
              </c:numCache>
            </c:numRef>
          </c:val>
          <c:extLst>
            <c:ext xmlns:c16="http://schemas.microsoft.com/office/drawing/2014/chart" uri="{C3380CC4-5D6E-409C-BE32-E72D297353CC}">
              <c16:uniqueId val="{00000001-CC6D-491F-8685-F7D7B4FBEF35}"/>
            </c:ext>
          </c:extLst>
        </c:ser>
        <c:dLbls>
          <c:dLblPos val="ctr"/>
          <c:showLegendKey val="0"/>
          <c:showVal val="1"/>
          <c:showCatName val="0"/>
          <c:showSerName val="0"/>
          <c:showPercent val="0"/>
          <c:showBubbleSize val="0"/>
        </c:dLbls>
        <c:gapWidth val="150"/>
        <c:overlap val="100"/>
        <c:axId val="897045055"/>
        <c:axId val="897037855"/>
      </c:barChart>
      <c:catAx>
        <c:axId val="8970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7037855"/>
        <c:crosses val="autoZero"/>
        <c:auto val="1"/>
        <c:lblAlgn val="ctr"/>
        <c:lblOffset val="100"/>
        <c:noMultiLvlLbl val="0"/>
      </c:catAx>
      <c:valAx>
        <c:axId val="897037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9704505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[HR_Analytics_500_Employees.xlsx]Average Salary by Department!PivotTable2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1">
                <a:effectLst/>
              </a:rPr>
              <a:t>Average Salary by Department</a:t>
            </a:r>
            <a:endParaRPr lang="en-US" sz="18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Salary 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'Average Salary by Department'!$A$4:$A$10</c:f>
              <c:strCache>
                <c:ptCount val="6"/>
                <c:pt idx="0">
                  <c:v>Finance</c:v>
                </c:pt>
                <c:pt idx="1">
                  <c:v>HR</c:v>
                </c:pt>
                <c:pt idx="2">
                  <c:v>IT</c:v>
                </c:pt>
                <c:pt idx="3">
                  <c:v>Marketing</c:v>
                </c:pt>
                <c:pt idx="4">
                  <c:v>Operations</c:v>
                </c:pt>
                <c:pt idx="5">
                  <c:v>Sales</c:v>
                </c:pt>
              </c:strCache>
            </c:strRef>
          </c:cat>
          <c:val>
            <c:numRef>
              <c:f>'Average Salary by Department'!$B$4:$B$10</c:f>
              <c:numCache>
                <c:formatCode>[$$-409]#,##0</c:formatCode>
                <c:ptCount val="6"/>
                <c:pt idx="0">
                  <c:v>147421.93548387097</c:v>
                </c:pt>
                <c:pt idx="1">
                  <c:v>141493.42857142858</c:v>
                </c:pt>
                <c:pt idx="2">
                  <c:v>146147.54430379748</c:v>
                </c:pt>
                <c:pt idx="3">
                  <c:v>140156</c:v>
                </c:pt>
                <c:pt idx="4">
                  <c:v>150629.33333333334</c:v>
                </c:pt>
                <c:pt idx="5">
                  <c:v>141845.8021978022</c:v>
                </c:pt>
              </c:numCache>
            </c:numRef>
          </c:val>
          <c:extLst>
            <c:ext xmlns:c16="http://schemas.microsoft.com/office/drawing/2014/chart" uri="{C3380CC4-5D6E-409C-BE32-E72D297353CC}">
              <c16:uniqueId val="{00000000-864B-4136-8CAC-85A6D71A2281}"/>
            </c:ext>
          </c:extLst>
        </c:ser>
        <c:dLbls>
          <c:dLblPos val="outEnd"/>
          <c:showLegendKey val="0"/>
          <c:showVal val="1"/>
          <c:showCatName val="0"/>
          <c:showSerName val="0"/>
          <c:showPercent val="0"/>
          <c:showBubbleSize val="0"/>
        </c:dLbls>
        <c:gapWidth val="182"/>
        <c:axId val="529285343"/>
        <c:axId val="529286783"/>
      </c:barChart>
      <c:catAx>
        <c:axId val="529285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286783"/>
        <c:crosses val="autoZero"/>
        <c:auto val="1"/>
        <c:lblAlgn val="ctr"/>
        <c:lblOffset val="100"/>
        <c:noMultiLvlLbl val="0"/>
      </c:catAx>
      <c:valAx>
        <c:axId val="529286783"/>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2928534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12</xdr:col>
      <xdr:colOff>9524</xdr:colOff>
      <xdr:row>17</xdr:row>
      <xdr:rowOff>180974</xdr:rowOff>
    </xdr:to>
    <xdr:graphicFrame macro="">
      <xdr:nvGraphicFramePr>
        <xdr:cNvPr id="2" name="Chart 1">
          <a:extLst>
            <a:ext uri="{FF2B5EF4-FFF2-40B4-BE49-F238E27FC236}">
              <a16:creationId xmlns:a16="http://schemas.microsoft.com/office/drawing/2014/main" id="{6B2B570C-C57F-6E45-7139-7D9B12F25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12</xdr:row>
      <xdr:rowOff>9523</xdr:rowOff>
    </xdr:from>
    <xdr:to>
      <xdr:col>9</xdr:col>
      <xdr:colOff>676277</xdr:colOff>
      <xdr:row>32</xdr:row>
      <xdr:rowOff>180974</xdr:rowOff>
    </xdr:to>
    <xdr:graphicFrame macro="">
      <xdr:nvGraphicFramePr>
        <xdr:cNvPr id="2" name="Chart 1">
          <a:extLst>
            <a:ext uri="{FF2B5EF4-FFF2-40B4-BE49-F238E27FC236}">
              <a16:creationId xmlns:a16="http://schemas.microsoft.com/office/drawing/2014/main" id="{8C2072E5-03B1-3F02-CF2D-64885A5FC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xdr:colOff>
      <xdr:row>0</xdr:row>
      <xdr:rowOff>0</xdr:rowOff>
    </xdr:from>
    <xdr:to>
      <xdr:col>9</xdr:col>
      <xdr:colOff>95250</xdr:colOff>
      <xdr:row>23</xdr:row>
      <xdr:rowOff>171450</xdr:rowOff>
    </xdr:to>
    <xdr:graphicFrame macro="">
      <xdr:nvGraphicFramePr>
        <xdr:cNvPr id="2" name="Chart 1">
          <a:extLst>
            <a:ext uri="{FF2B5EF4-FFF2-40B4-BE49-F238E27FC236}">
              <a16:creationId xmlns:a16="http://schemas.microsoft.com/office/drawing/2014/main" id="{8E1F630C-6B15-5EDD-1704-A89D1AB5EA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9524</xdr:colOff>
      <xdr:row>0</xdr:row>
      <xdr:rowOff>9524</xdr:rowOff>
    </xdr:from>
    <xdr:to>
      <xdr:col>9</xdr:col>
      <xdr:colOff>9525</xdr:colOff>
      <xdr:row>24</xdr:row>
      <xdr:rowOff>0</xdr:rowOff>
    </xdr:to>
    <xdr:graphicFrame macro="">
      <xdr:nvGraphicFramePr>
        <xdr:cNvPr id="2" name="Chart 1">
          <a:extLst>
            <a:ext uri="{FF2B5EF4-FFF2-40B4-BE49-F238E27FC236}">
              <a16:creationId xmlns:a16="http://schemas.microsoft.com/office/drawing/2014/main" id="{DF37DAEB-43D2-2FB3-33EA-B7431DB9A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342900</xdr:colOff>
      <xdr:row>1</xdr:row>
      <xdr:rowOff>0</xdr:rowOff>
    </xdr:from>
    <xdr:to>
      <xdr:col>15</xdr:col>
      <xdr:colOff>114300</xdr:colOff>
      <xdr:row>14</xdr:row>
      <xdr:rowOff>171450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2EBDBCBA-75B0-1841-F740-D09E2B357E3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05975" y="1809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12</xdr:row>
      <xdr:rowOff>28575</xdr:rowOff>
    </xdr:from>
    <xdr:to>
      <xdr:col>12</xdr:col>
      <xdr:colOff>590550</xdr:colOff>
      <xdr:row>26</xdr:row>
      <xdr:rowOff>19050</xdr:rowOff>
    </xdr:to>
    <mc:AlternateContent xmlns:mc="http://schemas.openxmlformats.org/markup-compatibility/2006">
      <mc:Choice xmlns:a14="http://schemas.microsoft.com/office/drawing/2010/main" Requires="a14">
        <xdr:graphicFrame macro="">
          <xdr:nvGraphicFramePr>
            <xdr:cNvPr id="4" name="WorkLocation">
              <a:extLst>
                <a:ext uri="{FF2B5EF4-FFF2-40B4-BE49-F238E27FC236}">
                  <a16:creationId xmlns:a16="http://schemas.microsoft.com/office/drawing/2014/main" id="{0B0E7D3D-0C6F-CB7A-F81A-74CE5AE8E44E}"/>
                </a:ext>
              </a:extLst>
            </xdr:cNvPr>
            <xdr:cNvGraphicFramePr/>
          </xdr:nvGraphicFramePr>
          <xdr:xfrm>
            <a:off x="0" y="0"/>
            <a:ext cx="0" cy="0"/>
          </xdr:xfrm>
          <a:graphic>
            <a:graphicData uri="http://schemas.microsoft.com/office/drawing/2010/slicer">
              <sle:slicer xmlns:sle="http://schemas.microsoft.com/office/drawing/2010/slicer" name="WorkLocation"/>
            </a:graphicData>
          </a:graphic>
        </xdr:graphicFrame>
      </mc:Choice>
      <mc:Fallback>
        <xdr:sp macro="" textlink="">
          <xdr:nvSpPr>
            <xdr:cNvPr id="0" name=""/>
            <xdr:cNvSpPr>
              <a:spLocks noTextEdit="1"/>
            </xdr:cNvSpPr>
          </xdr:nvSpPr>
          <xdr:spPr>
            <a:xfrm>
              <a:off x="8124825" y="22002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9524</xdr:colOff>
      <xdr:row>0</xdr:row>
      <xdr:rowOff>1</xdr:rowOff>
    </xdr:from>
    <xdr:to>
      <xdr:col>11</xdr:col>
      <xdr:colOff>628650</xdr:colOff>
      <xdr:row>18</xdr:row>
      <xdr:rowOff>19051</xdr:rowOff>
    </xdr:to>
    <xdr:graphicFrame macro="">
      <xdr:nvGraphicFramePr>
        <xdr:cNvPr id="2" name="Chart 1">
          <a:extLst>
            <a:ext uri="{FF2B5EF4-FFF2-40B4-BE49-F238E27FC236}">
              <a16:creationId xmlns:a16="http://schemas.microsoft.com/office/drawing/2014/main" id="{C5D35B3D-EB6D-6E4B-E58F-F057616EF0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323850</xdr:colOff>
      <xdr:row>7</xdr:row>
      <xdr:rowOff>76200</xdr:rowOff>
    </xdr:from>
    <xdr:to>
      <xdr:col>17</xdr:col>
      <xdr:colOff>95250</xdr:colOff>
      <xdr:row>21</xdr:row>
      <xdr:rowOff>66675</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A441321-8EDE-DEC2-5D19-41D313A269D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106150" y="134302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85725</xdr:colOff>
      <xdr:row>12</xdr:row>
      <xdr:rowOff>28575</xdr:rowOff>
    </xdr:from>
    <xdr:to>
      <xdr:col>12</xdr:col>
      <xdr:colOff>542925</xdr:colOff>
      <xdr:row>26</xdr:row>
      <xdr:rowOff>19050</xdr:rowOff>
    </xdr:to>
    <mc:AlternateContent xmlns:mc="http://schemas.openxmlformats.org/markup-compatibility/2006">
      <mc:Choice xmlns:a14="http://schemas.microsoft.com/office/drawing/2010/main" Requires="a14">
        <xdr:graphicFrame macro="">
          <xdr:nvGraphicFramePr>
            <xdr:cNvPr id="4" name="Overtime">
              <a:extLst>
                <a:ext uri="{FF2B5EF4-FFF2-40B4-BE49-F238E27FC236}">
                  <a16:creationId xmlns:a16="http://schemas.microsoft.com/office/drawing/2014/main" id="{B2A271D8-9166-21CC-6572-C1CE6C9F3F7F}"/>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8124825" y="2200275"/>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28574</xdr:rowOff>
    </xdr:from>
    <xdr:to>
      <xdr:col>22</xdr:col>
      <xdr:colOff>657225</xdr:colOff>
      <xdr:row>68</xdr:row>
      <xdr:rowOff>0</xdr:rowOff>
    </xdr:to>
    <xdr:sp macro="" textlink="">
      <xdr:nvSpPr>
        <xdr:cNvPr id="4" name="Rectangle 3">
          <a:extLst>
            <a:ext uri="{FF2B5EF4-FFF2-40B4-BE49-F238E27FC236}">
              <a16:creationId xmlns:a16="http://schemas.microsoft.com/office/drawing/2014/main" id="{306EF7CF-1E61-B2F7-2241-9AC74ED4A90E}"/>
            </a:ext>
          </a:extLst>
        </xdr:cNvPr>
        <xdr:cNvSpPr/>
      </xdr:nvSpPr>
      <xdr:spPr>
        <a:xfrm>
          <a:off x="0" y="28574"/>
          <a:ext cx="15744825" cy="12277726"/>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447675</xdr:colOff>
      <xdr:row>1</xdr:row>
      <xdr:rowOff>95250</xdr:rowOff>
    </xdr:from>
    <xdr:to>
      <xdr:col>22</xdr:col>
      <xdr:colOff>295275</xdr:colOff>
      <xdr:row>6</xdr:row>
      <xdr:rowOff>114300</xdr:rowOff>
    </xdr:to>
    <xdr:sp macro="" textlink="">
      <xdr:nvSpPr>
        <xdr:cNvPr id="5" name="Rectangle: Rounded Corners 4">
          <a:extLst>
            <a:ext uri="{FF2B5EF4-FFF2-40B4-BE49-F238E27FC236}">
              <a16:creationId xmlns:a16="http://schemas.microsoft.com/office/drawing/2014/main" id="{15D561E2-CE91-91E3-F920-C77DECC56BAC}"/>
            </a:ext>
          </a:extLst>
        </xdr:cNvPr>
        <xdr:cNvSpPr/>
      </xdr:nvSpPr>
      <xdr:spPr>
        <a:xfrm>
          <a:off x="447675" y="276225"/>
          <a:ext cx="14935200" cy="92392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chemeClr val="bg1"/>
            </a:solidFill>
          </a:endParaRPr>
        </a:p>
      </xdr:txBody>
    </xdr:sp>
    <xdr:clientData/>
  </xdr:twoCellAnchor>
  <xdr:oneCellAnchor>
    <xdr:from>
      <xdr:col>7</xdr:col>
      <xdr:colOff>609600</xdr:colOff>
      <xdr:row>1</xdr:row>
      <xdr:rowOff>142875</xdr:rowOff>
    </xdr:from>
    <xdr:ext cx="5278753" cy="718466"/>
    <xdr:sp macro="" textlink="">
      <xdr:nvSpPr>
        <xdr:cNvPr id="6" name="TextBox 5">
          <a:extLst>
            <a:ext uri="{FF2B5EF4-FFF2-40B4-BE49-F238E27FC236}">
              <a16:creationId xmlns:a16="http://schemas.microsoft.com/office/drawing/2014/main" id="{888105ED-D98C-2AA6-C9C1-6B94AED67012}"/>
            </a:ext>
          </a:extLst>
        </xdr:cNvPr>
        <xdr:cNvSpPr txBox="1"/>
      </xdr:nvSpPr>
      <xdr:spPr>
        <a:xfrm>
          <a:off x="5410200" y="323850"/>
          <a:ext cx="5278753" cy="718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r>
            <a:rPr lang="en-US" sz="4000" b="1">
              <a:solidFill>
                <a:schemeClr val="bg1"/>
              </a:solidFill>
            </a:rPr>
            <a:t>HR Analytic</a:t>
          </a:r>
          <a:r>
            <a:rPr lang="en-US" sz="4000" b="1" baseline="0">
              <a:solidFill>
                <a:schemeClr val="bg1"/>
              </a:solidFill>
            </a:rPr>
            <a:t>s Dashboard</a:t>
          </a:r>
          <a:endParaRPr lang="ar-EG" sz="4000" b="1">
            <a:solidFill>
              <a:schemeClr val="bg1"/>
            </a:solidFill>
          </a:endParaRPr>
        </a:p>
      </xdr:txBody>
    </xdr:sp>
    <xdr:clientData/>
  </xdr:oneCellAnchor>
  <xdr:twoCellAnchor>
    <xdr:from>
      <xdr:col>0</xdr:col>
      <xdr:colOff>495298</xdr:colOff>
      <xdr:row>8</xdr:row>
      <xdr:rowOff>95250</xdr:rowOff>
    </xdr:from>
    <xdr:to>
      <xdr:col>4</xdr:col>
      <xdr:colOff>666749</xdr:colOff>
      <xdr:row>12</xdr:row>
      <xdr:rowOff>66675</xdr:rowOff>
    </xdr:to>
    <xdr:sp macro="" textlink="">
      <xdr:nvSpPr>
        <xdr:cNvPr id="7" name="Rectangle: Rounded Corners 6">
          <a:extLst>
            <a:ext uri="{FF2B5EF4-FFF2-40B4-BE49-F238E27FC236}">
              <a16:creationId xmlns:a16="http://schemas.microsoft.com/office/drawing/2014/main" id="{17A8426E-18A8-0854-BE1E-081ABEA0E436}"/>
            </a:ext>
          </a:extLst>
        </xdr:cNvPr>
        <xdr:cNvSpPr/>
      </xdr:nvSpPr>
      <xdr:spPr>
        <a:xfrm>
          <a:off x="495298" y="1543050"/>
          <a:ext cx="2914651"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38100</xdr:colOff>
      <xdr:row>8</xdr:row>
      <xdr:rowOff>85725</xdr:rowOff>
    </xdr:from>
    <xdr:to>
      <xdr:col>9</xdr:col>
      <xdr:colOff>209551</xdr:colOff>
      <xdr:row>12</xdr:row>
      <xdr:rowOff>57150</xdr:rowOff>
    </xdr:to>
    <xdr:sp macro="" textlink="">
      <xdr:nvSpPr>
        <xdr:cNvPr id="16" name="Rectangle: Rounded Corners 15">
          <a:extLst>
            <a:ext uri="{FF2B5EF4-FFF2-40B4-BE49-F238E27FC236}">
              <a16:creationId xmlns:a16="http://schemas.microsoft.com/office/drawing/2014/main" id="{4CD00C28-1980-450B-9F6F-EB650D2C0E3F}"/>
            </a:ext>
          </a:extLst>
        </xdr:cNvPr>
        <xdr:cNvSpPr/>
      </xdr:nvSpPr>
      <xdr:spPr>
        <a:xfrm>
          <a:off x="3467100" y="1533525"/>
          <a:ext cx="2914651"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266700</xdr:colOff>
      <xdr:row>8</xdr:row>
      <xdr:rowOff>85725</xdr:rowOff>
    </xdr:from>
    <xdr:to>
      <xdr:col>13</xdr:col>
      <xdr:colOff>438151</xdr:colOff>
      <xdr:row>12</xdr:row>
      <xdr:rowOff>57150</xdr:rowOff>
    </xdr:to>
    <xdr:sp macro="" textlink="">
      <xdr:nvSpPr>
        <xdr:cNvPr id="17" name="Rectangle: Rounded Corners 16">
          <a:extLst>
            <a:ext uri="{FF2B5EF4-FFF2-40B4-BE49-F238E27FC236}">
              <a16:creationId xmlns:a16="http://schemas.microsoft.com/office/drawing/2014/main" id="{F65D027D-F3F3-4BA2-989C-AE19E5BACDC7}"/>
            </a:ext>
          </a:extLst>
        </xdr:cNvPr>
        <xdr:cNvSpPr/>
      </xdr:nvSpPr>
      <xdr:spPr>
        <a:xfrm>
          <a:off x="6438900" y="1533525"/>
          <a:ext cx="2914651"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13</xdr:col>
      <xdr:colOff>485775</xdr:colOff>
      <xdr:row>8</xdr:row>
      <xdr:rowOff>66675</xdr:rowOff>
    </xdr:from>
    <xdr:to>
      <xdr:col>17</xdr:col>
      <xdr:colOff>657226</xdr:colOff>
      <xdr:row>12</xdr:row>
      <xdr:rowOff>38100</xdr:rowOff>
    </xdr:to>
    <xdr:sp macro="" textlink="">
      <xdr:nvSpPr>
        <xdr:cNvPr id="18" name="Rectangle: Rounded Corners 17">
          <a:extLst>
            <a:ext uri="{FF2B5EF4-FFF2-40B4-BE49-F238E27FC236}">
              <a16:creationId xmlns:a16="http://schemas.microsoft.com/office/drawing/2014/main" id="{FD8E61A9-C925-440B-A5D3-AE875144C8D0}"/>
            </a:ext>
          </a:extLst>
        </xdr:cNvPr>
        <xdr:cNvSpPr/>
      </xdr:nvSpPr>
      <xdr:spPr>
        <a:xfrm>
          <a:off x="9401175" y="1514475"/>
          <a:ext cx="2914651"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18</xdr:col>
      <xdr:colOff>19050</xdr:colOff>
      <xdr:row>8</xdr:row>
      <xdr:rowOff>57150</xdr:rowOff>
    </xdr:from>
    <xdr:to>
      <xdr:col>22</xdr:col>
      <xdr:colOff>190501</xdr:colOff>
      <xdr:row>12</xdr:row>
      <xdr:rowOff>28575</xdr:rowOff>
    </xdr:to>
    <xdr:sp macro="" textlink="">
      <xdr:nvSpPr>
        <xdr:cNvPr id="19" name="Rectangle: Rounded Corners 18">
          <a:extLst>
            <a:ext uri="{FF2B5EF4-FFF2-40B4-BE49-F238E27FC236}">
              <a16:creationId xmlns:a16="http://schemas.microsoft.com/office/drawing/2014/main" id="{49D6DC44-4EF9-4C1F-B0A2-1F1707969831}"/>
            </a:ext>
          </a:extLst>
        </xdr:cNvPr>
        <xdr:cNvSpPr/>
      </xdr:nvSpPr>
      <xdr:spPr>
        <a:xfrm>
          <a:off x="12363450" y="1504950"/>
          <a:ext cx="2914651"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oneCellAnchor>
    <xdr:from>
      <xdr:col>1</xdr:col>
      <xdr:colOff>542925</xdr:colOff>
      <xdr:row>8</xdr:row>
      <xdr:rowOff>123825</xdr:rowOff>
    </xdr:from>
    <xdr:ext cx="1509388" cy="284052"/>
    <xdr:sp macro="" textlink="KPI!A21">
      <xdr:nvSpPr>
        <xdr:cNvPr id="20" name="TextBox 19">
          <a:extLst>
            <a:ext uri="{FF2B5EF4-FFF2-40B4-BE49-F238E27FC236}">
              <a16:creationId xmlns:a16="http://schemas.microsoft.com/office/drawing/2014/main" id="{3F306DBA-23DE-E711-0CF0-112082DFF272}"/>
            </a:ext>
          </a:extLst>
        </xdr:cNvPr>
        <xdr:cNvSpPr txBox="1"/>
      </xdr:nvSpPr>
      <xdr:spPr>
        <a:xfrm>
          <a:off x="1228725" y="1571625"/>
          <a:ext cx="1509388"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FC9C217D-419E-4FC9-BA7E-787E3507E207}" type="TxLink">
            <a:rPr lang="en-US" sz="1300" b="1" i="0" u="none" strike="noStrike">
              <a:solidFill>
                <a:srgbClr val="000000"/>
              </a:solidFill>
              <a:latin typeface="Arial"/>
              <a:cs typeface="Arial"/>
            </a:rPr>
            <a:pPr/>
            <a:t>Total Employees</a:t>
          </a:fld>
          <a:endParaRPr lang="ar-EG" sz="1300"/>
        </a:p>
      </xdr:txBody>
    </xdr:sp>
    <xdr:clientData/>
  </xdr:oneCellAnchor>
  <xdr:oneCellAnchor>
    <xdr:from>
      <xdr:col>6</xdr:col>
      <xdr:colOff>142875</xdr:colOff>
      <xdr:row>8</xdr:row>
      <xdr:rowOff>133350</xdr:rowOff>
    </xdr:from>
    <xdr:ext cx="1389483" cy="284052"/>
    <xdr:sp macro="" textlink="KPI!A22">
      <xdr:nvSpPr>
        <xdr:cNvPr id="21" name="TextBox 20">
          <a:extLst>
            <a:ext uri="{FF2B5EF4-FFF2-40B4-BE49-F238E27FC236}">
              <a16:creationId xmlns:a16="http://schemas.microsoft.com/office/drawing/2014/main" id="{BB924C39-E42A-424C-ABAB-4F428A2C2D38}"/>
            </a:ext>
          </a:extLst>
        </xdr:cNvPr>
        <xdr:cNvSpPr txBox="1"/>
      </xdr:nvSpPr>
      <xdr:spPr>
        <a:xfrm>
          <a:off x="4257675" y="1581150"/>
          <a:ext cx="1389483"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3449DFEB-91FB-40D6-894D-8340BAB94A80}" type="TxLink">
            <a:rPr lang="en-US" sz="1300" b="1" i="0" u="none" strike="noStrike">
              <a:solidFill>
                <a:srgbClr val="000000"/>
              </a:solidFill>
              <a:latin typeface="Arial"/>
              <a:cs typeface="Arial"/>
            </a:rPr>
            <a:pPr/>
            <a:t>Average Salary</a:t>
          </a:fld>
          <a:endParaRPr lang="ar-EG" sz="1300"/>
        </a:p>
      </xdr:txBody>
    </xdr:sp>
    <xdr:clientData/>
  </xdr:oneCellAnchor>
  <xdr:oneCellAnchor>
    <xdr:from>
      <xdr:col>9</xdr:col>
      <xdr:colOff>447675</xdr:colOff>
      <xdr:row>8</xdr:row>
      <xdr:rowOff>133350</xdr:rowOff>
    </xdr:from>
    <xdr:ext cx="2473113" cy="284052"/>
    <xdr:sp macro="" textlink="KPI!A23">
      <xdr:nvSpPr>
        <xdr:cNvPr id="22" name="TextBox 21">
          <a:extLst>
            <a:ext uri="{FF2B5EF4-FFF2-40B4-BE49-F238E27FC236}">
              <a16:creationId xmlns:a16="http://schemas.microsoft.com/office/drawing/2014/main" id="{87000E83-5CC3-452B-A408-BEDE4230EA05}"/>
            </a:ext>
          </a:extLst>
        </xdr:cNvPr>
        <xdr:cNvSpPr txBox="1"/>
      </xdr:nvSpPr>
      <xdr:spPr>
        <a:xfrm>
          <a:off x="6619875" y="1581150"/>
          <a:ext cx="2473113"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127F1173-E8F5-4802-A233-80278EE1E8E1}" type="TxLink">
            <a:rPr lang="en-US" sz="1300" b="1" i="0" u="none" strike="noStrike">
              <a:solidFill>
                <a:srgbClr val="000000"/>
              </a:solidFill>
              <a:latin typeface="Arial"/>
              <a:cs typeface="Arial"/>
            </a:rPr>
            <a:pPr/>
            <a:t>Average Performance Rating</a:t>
          </a:fld>
          <a:endParaRPr lang="ar-EG" sz="1300"/>
        </a:p>
      </xdr:txBody>
    </xdr:sp>
    <xdr:clientData/>
  </xdr:oneCellAnchor>
  <xdr:oneCellAnchor>
    <xdr:from>
      <xdr:col>13</xdr:col>
      <xdr:colOff>600075</xdr:colOff>
      <xdr:row>8</xdr:row>
      <xdr:rowOff>114300</xdr:rowOff>
    </xdr:from>
    <xdr:ext cx="2779094" cy="284052"/>
    <xdr:sp macro="" textlink="KPI!A24">
      <xdr:nvSpPr>
        <xdr:cNvPr id="23" name="TextBox 22">
          <a:extLst>
            <a:ext uri="{FF2B5EF4-FFF2-40B4-BE49-F238E27FC236}">
              <a16:creationId xmlns:a16="http://schemas.microsoft.com/office/drawing/2014/main" id="{38E5D134-C3C9-4DD2-B350-42DA0D590A15}"/>
            </a:ext>
          </a:extLst>
        </xdr:cNvPr>
        <xdr:cNvSpPr txBox="1"/>
      </xdr:nvSpPr>
      <xdr:spPr>
        <a:xfrm>
          <a:off x="9515475" y="1562100"/>
          <a:ext cx="2779094"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031956A3-C210-4044-8894-27D0059AB239}" type="TxLink">
            <a:rPr lang="en-US" sz="1300" b="1" i="0" u="none" strike="noStrike">
              <a:solidFill>
                <a:srgbClr val="000000"/>
              </a:solidFill>
              <a:latin typeface="Arial"/>
              <a:cs typeface="Arial"/>
            </a:rPr>
            <a:pPr/>
            <a:t>Percentage Overtime Employees</a:t>
          </a:fld>
          <a:endParaRPr lang="ar-EG" sz="1300"/>
        </a:p>
      </xdr:txBody>
    </xdr:sp>
    <xdr:clientData/>
  </xdr:oneCellAnchor>
  <xdr:oneCellAnchor>
    <xdr:from>
      <xdr:col>18</xdr:col>
      <xdr:colOff>247650</xdr:colOff>
      <xdr:row>8</xdr:row>
      <xdr:rowOff>95250</xdr:rowOff>
    </xdr:from>
    <xdr:ext cx="2575064" cy="284052"/>
    <xdr:sp macro="" textlink="KPI!A25">
      <xdr:nvSpPr>
        <xdr:cNvPr id="24" name="TextBox 23">
          <a:extLst>
            <a:ext uri="{FF2B5EF4-FFF2-40B4-BE49-F238E27FC236}">
              <a16:creationId xmlns:a16="http://schemas.microsoft.com/office/drawing/2014/main" id="{273BDCFF-E745-4507-87D0-1008D18E5956}"/>
            </a:ext>
          </a:extLst>
        </xdr:cNvPr>
        <xdr:cNvSpPr txBox="1"/>
      </xdr:nvSpPr>
      <xdr:spPr>
        <a:xfrm>
          <a:off x="12592050" y="1543050"/>
          <a:ext cx="2575064" cy="2840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2F18E169-6D01-4EE8-8E83-04FDED8EDFDE}" type="TxLink">
            <a:rPr lang="en-US" sz="1300" b="1" i="0" u="none" strike="noStrike">
              <a:solidFill>
                <a:srgbClr val="000000"/>
              </a:solidFill>
              <a:latin typeface="Arial"/>
              <a:cs typeface="Arial"/>
            </a:rPr>
            <a:pPr/>
            <a:t>Percentage Senior Employees</a:t>
          </a:fld>
          <a:endParaRPr lang="ar-EG" sz="1300"/>
        </a:p>
      </xdr:txBody>
    </xdr:sp>
    <xdr:clientData/>
  </xdr:oneCellAnchor>
  <xdr:oneCellAnchor>
    <xdr:from>
      <xdr:col>2</xdr:col>
      <xdr:colOff>381000</xdr:colOff>
      <xdr:row>10</xdr:row>
      <xdr:rowOff>104775</xdr:rowOff>
    </xdr:from>
    <xdr:ext cx="420115" cy="254557"/>
    <xdr:sp macro="" textlink="KPI!B21">
      <xdr:nvSpPr>
        <xdr:cNvPr id="25" name="TextBox 24">
          <a:extLst>
            <a:ext uri="{FF2B5EF4-FFF2-40B4-BE49-F238E27FC236}">
              <a16:creationId xmlns:a16="http://schemas.microsoft.com/office/drawing/2014/main" id="{CB2E2E7C-F240-2E0C-05CB-6C04BE15B743}"/>
            </a:ext>
          </a:extLst>
        </xdr:cNvPr>
        <xdr:cNvSpPr txBox="1"/>
      </xdr:nvSpPr>
      <xdr:spPr>
        <a:xfrm>
          <a:off x="1752600" y="1914525"/>
          <a:ext cx="42011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9E62B344-CA8E-4891-BAAD-CB289C50F0FF}" type="TxLink">
            <a:rPr lang="en-US" sz="1100" b="0" i="0" u="none" strike="noStrike">
              <a:solidFill>
                <a:srgbClr val="000000"/>
              </a:solidFill>
              <a:latin typeface="Arial"/>
              <a:cs typeface="Arial"/>
            </a:rPr>
            <a:pPr/>
            <a:t>500</a:t>
          </a:fld>
          <a:endParaRPr lang="ar-EG" sz="1100"/>
        </a:p>
      </xdr:txBody>
    </xdr:sp>
    <xdr:clientData/>
  </xdr:oneCellAnchor>
  <xdr:oneCellAnchor>
    <xdr:from>
      <xdr:col>6</xdr:col>
      <xdr:colOff>438150</xdr:colOff>
      <xdr:row>10</xdr:row>
      <xdr:rowOff>104775</xdr:rowOff>
    </xdr:from>
    <xdr:ext cx="773225" cy="254557"/>
    <xdr:sp macro="" textlink="KPI!B22">
      <xdr:nvSpPr>
        <xdr:cNvPr id="26" name="TextBox 25">
          <a:extLst>
            <a:ext uri="{FF2B5EF4-FFF2-40B4-BE49-F238E27FC236}">
              <a16:creationId xmlns:a16="http://schemas.microsoft.com/office/drawing/2014/main" id="{7364A1F8-31C4-4C60-B141-867A59CA31D3}"/>
            </a:ext>
          </a:extLst>
        </xdr:cNvPr>
        <xdr:cNvSpPr txBox="1"/>
      </xdr:nvSpPr>
      <xdr:spPr>
        <a:xfrm>
          <a:off x="4552950" y="1914525"/>
          <a:ext cx="77322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4825819A-FBE2-4F82-A5D0-AAEECC9962E2}" type="TxLink">
            <a:rPr lang="en-US" sz="1100" b="0" i="0" u="none" strike="noStrike">
              <a:solidFill>
                <a:srgbClr val="000000"/>
              </a:solidFill>
              <a:latin typeface="Arial"/>
              <a:cs typeface="Arial"/>
            </a:rPr>
            <a:pPr/>
            <a:t>$144,495</a:t>
          </a:fld>
          <a:endParaRPr lang="ar-EG" sz="1100"/>
        </a:p>
      </xdr:txBody>
    </xdr:sp>
    <xdr:clientData/>
  </xdr:oneCellAnchor>
  <xdr:oneCellAnchor>
    <xdr:from>
      <xdr:col>11</xdr:col>
      <xdr:colOff>47625</xdr:colOff>
      <xdr:row>10</xdr:row>
      <xdr:rowOff>95250</xdr:rowOff>
    </xdr:from>
    <xdr:ext cx="537776" cy="254557"/>
    <xdr:sp macro="" textlink="KPI!B23">
      <xdr:nvSpPr>
        <xdr:cNvPr id="27" name="TextBox 26">
          <a:extLst>
            <a:ext uri="{FF2B5EF4-FFF2-40B4-BE49-F238E27FC236}">
              <a16:creationId xmlns:a16="http://schemas.microsoft.com/office/drawing/2014/main" id="{6B142F76-24EF-41B2-9111-005F888CC577}"/>
            </a:ext>
          </a:extLst>
        </xdr:cNvPr>
        <xdr:cNvSpPr txBox="1"/>
      </xdr:nvSpPr>
      <xdr:spPr>
        <a:xfrm>
          <a:off x="7591425" y="1905000"/>
          <a:ext cx="537776"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E8D74568-240D-49EA-98A9-C22DC6919028}" type="TxLink">
            <a:rPr lang="en-US" sz="1100" b="0" i="0" u="none" strike="noStrike">
              <a:solidFill>
                <a:srgbClr val="000000"/>
              </a:solidFill>
              <a:latin typeface="Arial"/>
              <a:cs typeface="Arial"/>
            </a:rPr>
            <a:pPr/>
            <a:t>2.978</a:t>
          </a:fld>
          <a:endParaRPr lang="ar-EG" sz="1100"/>
        </a:p>
      </xdr:txBody>
    </xdr:sp>
    <xdr:clientData/>
  </xdr:oneCellAnchor>
  <xdr:oneCellAnchor>
    <xdr:from>
      <xdr:col>15</xdr:col>
      <xdr:colOff>266700</xdr:colOff>
      <xdr:row>10</xdr:row>
      <xdr:rowOff>85725</xdr:rowOff>
    </xdr:from>
    <xdr:ext cx="663195" cy="254557"/>
    <xdr:sp macro="" textlink="KPI!B24">
      <xdr:nvSpPr>
        <xdr:cNvPr id="28" name="TextBox 27">
          <a:extLst>
            <a:ext uri="{FF2B5EF4-FFF2-40B4-BE49-F238E27FC236}">
              <a16:creationId xmlns:a16="http://schemas.microsoft.com/office/drawing/2014/main" id="{5BDF1C2B-AA13-49E5-B5D4-9580F4EF0329}"/>
            </a:ext>
          </a:extLst>
        </xdr:cNvPr>
        <xdr:cNvSpPr txBox="1"/>
      </xdr:nvSpPr>
      <xdr:spPr>
        <a:xfrm>
          <a:off x="10553700" y="1895475"/>
          <a:ext cx="66319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537C3C13-81AE-4134-80BF-CDF1429DF660}" type="TxLink">
            <a:rPr lang="en-US" sz="1100" b="0" i="0" u="none" strike="noStrike">
              <a:solidFill>
                <a:srgbClr val="000000"/>
              </a:solidFill>
              <a:latin typeface="Arial"/>
              <a:cs typeface="Arial"/>
            </a:rPr>
            <a:pPr/>
            <a:t>49.80%</a:t>
          </a:fld>
          <a:endParaRPr lang="ar-EG" sz="1100"/>
        </a:p>
      </xdr:txBody>
    </xdr:sp>
    <xdr:clientData/>
  </xdr:oneCellAnchor>
  <xdr:oneCellAnchor>
    <xdr:from>
      <xdr:col>19</xdr:col>
      <xdr:colOff>542925</xdr:colOff>
      <xdr:row>10</xdr:row>
      <xdr:rowOff>76200</xdr:rowOff>
    </xdr:from>
    <xdr:ext cx="663195" cy="254557"/>
    <xdr:sp macro="" textlink="KPI!B25">
      <xdr:nvSpPr>
        <xdr:cNvPr id="29" name="TextBox 28">
          <a:extLst>
            <a:ext uri="{FF2B5EF4-FFF2-40B4-BE49-F238E27FC236}">
              <a16:creationId xmlns:a16="http://schemas.microsoft.com/office/drawing/2014/main" id="{175E64EA-F9BC-4327-B9E7-81BB3DE5DEF3}"/>
            </a:ext>
          </a:extLst>
        </xdr:cNvPr>
        <xdr:cNvSpPr txBox="1"/>
      </xdr:nvSpPr>
      <xdr:spPr>
        <a:xfrm>
          <a:off x="13573125" y="1885950"/>
          <a:ext cx="663195"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fld id="{06F6FFCA-5C79-4C9F-B9DB-A37D6DE59CA7}" type="TxLink">
            <a:rPr lang="en-US" sz="1100" b="0" i="0" u="none" strike="noStrike">
              <a:solidFill>
                <a:srgbClr val="000000"/>
              </a:solidFill>
              <a:latin typeface="Arial"/>
              <a:cs typeface="Arial"/>
            </a:rPr>
            <a:pPr/>
            <a:t>45.60%</a:t>
          </a:fld>
          <a:endParaRPr lang="ar-EG" sz="1100"/>
        </a:p>
      </xdr:txBody>
    </xdr:sp>
    <xdr:clientData/>
  </xdr:oneCellAnchor>
  <xdr:twoCellAnchor>
    <xdr:from>
      <xdr:col>0</xdr:col>
      <xdr:colOff>428626</xdr:colOff>
      <xdr:row>14</xdr:row>
      <xdr:rowOff>114300</xdr:rowOff>
    </xdr:from>
    <xdr:to>
      <xdr:col>8</xdr:col>
      <xdr:colOff>619125</xdr:colOff>
      <xdr:row>40</xdr:row>
      <xdr:rowOff>76200</xdr:rowOff>
    </xdr:to>
    <xdr:sp macro="" textlink="">
      <xdr:nvSpPr>
        <xdr:cNvPr id="30" name="Rectangle: Rounded Corners 29">
          <a:extLst>
            <a:ext uri="{FF2B5EF4-FFF2-40B4-BE49-F238E27FC236}">
              <a16:creationId xmlns:a16="http://schemas.microsoft.com/office/drawing/2014/main" id="{2ABD7A3E-0343-A605-CF5B-5D12D4C92D9E}"/>
            </a:ext>
          </a:extLst>
        </xdr:cNvPr>
        <xdr:cNvSpPr/>
      </xdr:nvSpPr>
      <xdr:spPr>
        <a:xfrm>
          <a:off x="428626" y="2647950"/>
          <a:ext cx="5676899" cy="4667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28575</xdr:colOff>
      <xdr:row>14</xdr:row>
      <xdr:rowOff>161925</xdr:rowOff>
    </xdr:from>
    <xdr:to>
      <xdr:col>19</xdr:col>
      <xdr:colOff>238124</xdr:colOff>
      <xdr:row>40</xdr:row>
      <xdr:rowOff>47625</xdr:rowOff>
    </xdr:to>
    <xdr:sp macro="" textlink="">
      <xdr:nvSpPr>
        <xdr:cNvPr id="31" name="Rectangle: Rounded Corners 30">
          <a:extLst>
            <a:ext uri="{FF2B5EF4-FFF2-40B4-BE49-F238E27FC236}">
              <a16:creationId xmlns:a16="http://schemas.microsoft.com/office/drawing/2014/main" id="{FC0BC484-C24E-DDE9-CFAB-5D7B52479397}"/>
            </a:ext>
          </a:extLst>
        </xdr:cNvPr>
        <xdr:cNvSpPr/>
      </xdr:nvSpPr>
      <xdr:spPr>
        <a:xfrm>
          <a:off x="6200775" y="2695575"/>
          <a:ext cx="7067549" cy="45910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457201</xdr:colOff>
      <xdr:row>41</xdr:row>
      <xdr:rowOff>0</xdr:rowOff>
    </xdr:from>
    <xdr:to>
      <xdr:col>8</xdr:col>
      <xdr:colOff>647700</xdr:colOff>
      <xdr:row>66</xdr:row>
      <xdr:rowOff>142875</xdr:rowOff>
    </xdr:to>
    <xdr:sp macro="" textlink="">
      <xdr:nvSpPr>
        <xdr:cNvPr id="32" name="Rectangle: Rounded Corners 31">
          <a:extLst>
            <a:ext uri="{FF2B5EF4-FFF2-40B4-BE49-F238E27FC236}">
              <a16:creationId xmlns:a16="http://schemas.microsoft.com/office/drawing/2014/main" id="{B5D021FE-202A-47C1-BBE5-B1ED097DD4A1}"/>
            </a:ext>
          </a:extLst>
        </xdr:cNvPr>
        <xdr:cNvSpPr/>
      </xdr:nvSpPr>
      <xdr:spPr>
        <a:xfrm>
          <a:off x="457201" y="7419975"/>
          <a:ext cx="5676899" cy="4667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66676</xdr:colOff>
      <xdr:row>41</xdr:row>
      <xdr:rowOff>66675</xdr:rowOff>
    </xdr:from>
    <xdr:to>
      <xdr:col>14</xdr:col>
      <xdr:colOff>142875</xdr:colOff>
      <xdr:row>67</xdr:row>
      <xdr:rowOff>28575</xdr:rowOff>
    </xdr:to>
    <xdr:sp macro="" textlink="">
      <xdr:nvSpPr>
        <xdr:cNvPr id="33" name="Rectangle: Rounded Corners 32">
          <a:extLst>
            <a:ext uri="{FF2B5EF4-FFF2-40B4-BE49-F238E27FC236}">
              <a16:creationId xmlns:a16="http://schemas.microsoft.com/office/drawing/2014/main" id="{27E56FA4-8E16-474A-8014-C4D7225F156C}"/>
            </a:ext>
          </a:extLst>
        </xdr:cNvPr>
        <xdr:cNvSpPr/>
      </xdr:nvSpPr>
      <xdr:spPr>
        <a:xfrm>
          <a:off x="6238876" y="7486650"/>
          <a:ext cx="3505199" cy="4667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14</xdr:col>
      <xdr:colOff>209551</xdr:colOff>
      <xdr:row>41</xdr:row>
      <xdr:rowOff>104775</xdr:rowOff>
    </xdr:from>
    <xdr:to>
      <xdr:col>19</xdr:col>
      <xdr:colOff>266700</xdr:colOff>
      <xdr:row>67</xdr:row>
      <xdr:rowOff>66675</xdr:rowOff>
    </xdr:to>
    <xdr:sp macro="" textlink="">
      <xdr:nvSpPr>
        <xdr:cNvPr id="34" name="Rectangle: Rounded Corners 33">
          <a:extLst>
            <a:ext uri="{FF2B5EF4-FFF2-40B4-BE49-F238E27FC236}">
              <a16:creationId xmlns:a16="http://schemas.microsoft.com/office/drawing/2014/main" id="{D11F5C93-EAA8-4E21-8C5D-0D5D34D36B59}"/>
            </a:ext>
          </a:extLst>
        </xdr:cNvPr>
        <xdr:cNvSpPr/>
      </xdr:nvSpPr>
      <xdr:spPr>
        <a:xfrm>
          <a:off x="9810751" y="7524750"/>
          <a:ext cx="3486149" cy="46672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180975</xdr:colOff>
      <xdr:row>43</xdr:row>
      <xdr:rowOff>133350</xdr:rowOff>
    </xdr:from>
    <xdr:to>
      <xdr:col>14</xdr:col>
      <xdr:colOff>95251</xdr:colOff>
      <xdr:row>64</xdr:row>
      <xdr:rowOff>95250</xdr:rowOff>
    </xdr:to>
    <xdr:graphicFrame macro="">
      <xdr:nvGraphicFramePr>
        <xdr:cNvPr id="37" name="Chart 36">
          <a:extLst>
            <a:ext uri="{FF2B5EF4-FFF2-40B4-BE49-F238E27FC236}">
              <a16:creationId xmlns:a16="http://schemas.microsoft.com/office/drawing/2014/main" id="{F3DDDD7B-848E-4E3C-A1B3-CA1FE20C1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285750</xdr:colOff>
      <xdr:row>43</xdr:row>
      <xdr:rowOff>152401</xdr:rowOff>
    </xdr:from>
    <xdr:to>
      <xdr:col>19</xdr:col>
      <xdr:colOff>200025</xdr:colOff>
      <xdr:row>65</xdr:row>
      <xdr:rowOff>1</xdr:rowOff>
    </xdr:to>
    <xdr:graphicFrame macro="">
      <xdr:nvGraphicFramePr>
        <xdr:cNvPr id="38" name="Chart 37">
          <a:extLst>
            <a:ext uri="{FF2B5EF4-FFF2-40B4-BE49-F238E27FC236}">
              <a16:creationId xmlns:a16="http://schemas.microsoft.com/office/drawing/2014/main" id="{6E0E7431-55AE-4FC3-98B9-B28C8296B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495301</xdr:colOff>
      <xdr:row>18</xdr:row>
      <xdr:rowOff>19050</xdr:rowOff>
    </xdr:from>
    <xdr:to>
      <xdr:col>8</xdr:col>
      <xdr:colOff>495300</xdr:colOff>
      <xdr:row>36</xdr:row>
      <xdr:rowOff>19049</xdr:rowOff>
    </xdr:to>
    <xdr:graphicFrame macro="">
      <xdr:nvGraphicFramePr>
        <xdr:cNvPr id="39" name="Chart 38">
          <a:extLst>
            <a:ext uri="{FF2B5EF4-FFF2-40B4-BE49-F238E27FC236}">
              <a16:creationId xmlns:a16="http://schemas.microsoft.com/office/drawing/2014/main" id="{8C055FC9-C24C-40EA-9327-BFA25AB5B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600076</xdr:colOff>
      <xdr:row>44</xdr:row>
      <xdr:rowOff>57150</xdr:rowOff>
    </xdr:from>
    <xdr:to>
      <xdr:col>8</xdr:col>
      <xdr:colOff>533402</xdr:colOff>
      <xdr:row>62</xdr:row>
      <xdr:rowOff>76200</xdr:rowOff>
    </xdr:to>
    <xdr:graphicFrame macro="">
      <xdr:nvGraphicFramePr>
        <xdr:cNvPr id="40" name="Chart 39">
          <a:extLst>
            <a:ext uri="{FF2B5EF4-FFF2-40B4-BE49-F238E27FC236}">
              <a16:creationId xmlns:a16="http://schemas.microsoft.com/office/drawing/2014/main" id="{70094102-54CB-43D7-A616-86AD1604F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171450</xdr:colOff>
      <xdr:row>17</xdr:row>
      <xdr:rowOff>9525</xdr:rowOff>
    </xdr:from>
    <xdr:to>
      <xdr:col>19</xdr:col>
      <xdr:colOff>76200</xdr:colOff>
      <xdr:row>38</xdr:row>
      <xdr:rowOff>1</xdr:rowOff>
    </xdr:to>
    <xdr:graphicFrame macro="">
      <xdr:nvGraphicFramePr>
        <xdr:cNvPr id="41" name="Chart 40">
          <a:extLst>
            <a:ext uri="{FF2B5EF4-FFF2-40B4-BE49-F238E27FC236}">
              <a16:creationId xmlns:a16="http://schemas.microsoft.com/office/drawing/2014/main" id="{C8E1B1C7-4898-42F0-AE03-50BF3A9BF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581025</xdr:colOff>
      <xdr:row>15</xdr:row>
      <xdr:rowOff>66674</xdr:rowOff>
    </xdr:from>
    <xdr:to>
      <xdr:col>22</xdr:col>
      <xdr:colOff>352425</xdr:colOff>
      <xdr:row>29</xdr:row>
      <xdr:rowOff>142875</xdr:rowOff>
    </xdr:to>
    <mc:AlternateContent xmlns:mc="http://schemas.openxmlformats.org/markup-compatibility/2006">
      <mc:Choice xmlns:a14="http://schemas.microsoft.com/office/drawing/2010/main" Requires="a14">
        <xdr:graphicFrame macro="">
          <xdr:nvGraphicFramePr>
            <xdr:cNvPr id="2" name="Department 1">
              <a:extLst>
                <a:ext uri="{FF2B5EF4-FFF2-40B4-BE49-F238E27FC236}">
                  <a16:creationId xmlns:a16="http://schemas.microsoft.com/office/drawing/2014/main" id="{A2B39272-5E2C-4A8B-8389-E6B43D39BA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742843" y="2664401"/>
              <a:ext cx="1849582" cy="250074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619125</xdr:colOff>
      <xdr:row>31</xdr:row>
      <xdr:rowOff>114299</xdr:rowOff>
    </xdr:from>
    <xdr:to>
      <xdr:col>22</xdr:col>
      <xdr:colOff>390525</xdr:colOff>
      <xdr:row>41</xdr:row>
      <xdr:rowOff>38100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D375CC64-3CC1-4E59-A8D1-52E4FA7C58C3}"/>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3780943" y="5482935"/>
              <a:ext cx="1849582" cy="16556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638175</xdr:colOff>
      <xdr:row>42</xdr:row>
      <xdr:rowOff>171449</xdr:rowOff>
    </xdr:from>
    <xdr:to>
      <xdr:col>22</xdr:col>
      <xdr:colOff>409575</xdr:colOff>
      <xdr:row>54</xdr:row>
      <xdr:rowOff>57150</xdr:rowOff>
    </xdr:to>
    <mc:AlternateContent xmlns:mc="http://schemas.openxmlformats.org/markup-compatibility/2006">
      <mc:Choice xmlns:a14="http://schemas.microsoft.com/office/drawing/2010/main" Requires="a14">
        <xdr:graphicFrame macro="">
          <xdr:nvGraphicFramePr>
            <xdr:cNvPr id="8" name="Overtime 1">
              <a:extLst>
                <a:ext uri="{FF2B5EF4-FFF2-40B4-BE49-F238E27FC236}">
                  <a16:creationId xmlns:a16="http://schemas.microsoft.com/office/drawing/2014/main" id="{9AE7DD96-EC4A-44F4-83F0-97B611D7E707}"/>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13799993" y="7445085"/>
              <a:ext cx="1849582" cy="196388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xdr:colOff>
      <xdr:row>55</xdr:row>
      <xdr:rowOff>123825</xdr:rowOff>
    </xdr:from>
    <xdr:to>
      <xdr:col>22</xdr:col>
      <xdr:colOff>476250</xdr:colOff>
      <xdr:row>67</xdr:row>
      <xdr:rowOff>19051</xdr:rowOff>
    </xdr:to>
    <mc:AlternateContent xmlns:mc="http://schemas.openxmlformats.org/markup-compatibility/2006">
      <mc:Choice xmlns:a14="http://schemas.microsoft.com/office/drawing/2010/main" Requires="a14">
        <xdr:graphicFrame macro="">
          <xdr:nvGraphicFramePr>
            <xdr:cNvPr id="9" name="WorkLocation 1">
              <a:extLst>
                <a:ext uri="{FF2B5EF4-FFF2-40B4-BE49-F238E27FC236}">
                  <a16:creationId xmlns:a16="http://schemas.microsoft.com/office/drawing/2014/main" id="{B076124F-1C50-4765-80B1-53340DAA66E1}"/>
                </a:ext>
              </a:extLst>
            </xdr:cNvPr>
            <xdr:cNvGraphicFramePr/>
          </xdr:nvGraphicFramePr>
          <xdr:xfrm>
            <a:off x="0" y="0"/>
            <a:ext cx="0" cy="0"/>
          </xdr:xfrm>
          <a:graphic>
            <a:graphicData uri="http://schemas.microsoft.com/office/drawing/2010/slicer">
              <sle:slicer xmlns:sle="http://schemas.microsoft.com/office/drawing/2010/slicer" name="WorkLocation 1"/>
            </a:graphicData>
          </a:graphic>
        </xdr:graphicFrame>
      </mc:Choice>
      <mc:Fallback>
        <xdr:sp macro="" textlink="">
          <xdr:nvSpPr>
            <xdr:cNvPr id="0" name=""/>
            <xdr:cNvSpPr>
              <a:spLocks noTextEdit="1"/>
            </xdr:cNvSpPr>
          </xdr:nvSpPr>
          <xdr:spPr>
            <a:xfrm>
              <a:off x="13873595" y="9648825"/>
              <a:ext cx="1842655" cy="197340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75.132215972226" createdVersion="8" refreshedVersion="8" minRefreshableVersion="3" recordCount="500" xr:uid="{BF3C1FA5-97DD-4B1E-8030-4758DF8289F4}">
  <cacheSource type="worksheet">
    <worksheetSource name="Table1_2"/>
  </cacheSource>
  <cacheFields count="16">
    <cacheField name="Employee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HireDate" numFmtId="14">
      <sharedItems containsSemiMixedTypes="0" containsNonDate="0" containsDate="1" containsString="0" minDate="2010-01-16T00:00:00" maxDate="2023-08-12T00:00:00"/>
    </cacheField>
    <cacheField name="Department" numFmtId="0">
      <sharedItems count="6">
        <s v="Sales"/>
        <s v="Finance"/>
        <s v="Operations"/>
        <s v="Marketing"/>
        <s v="HR"/>
        <s v="IT"/>
      </sharedItems>
    </cacheField>
    <cacheField name="JobRole" numFmtId="0">
      <sharedItems/>
    </cacheField>
    <cacheField name="Gender" numFmtId="0">
      <sharedItems count="2">
        <s v="Male"/>
        <s v="Female"/>
      </sharedItems>
    </cacheField>
    <cacheField name="Age" numFmtId="0">
      <sharedItems containsSemiMixedTypes="0" containsString="0" containsNumber="1" containsInteger="1" minValue="22" maxValue="60"/>
    </cacheField>
    <cacheField name="MonthlySalary" numFmtId="0">
      <sharedItems containsSemiMixedTypes="0" containsString="0" containsNumber="1" containsInteger="1" minValue="4009" maxValue="19926"/>
    </cacheField>
    <cacheField name="YearsAtCompany" numFmtId="0">
      <sharedItems containsSemiMixedTypes="0" containsString="0" containsNumber="1" containsInteger="1" minValue="0" maxValue="15"/>
    </cacheField>
    <cacheField name="PerformanceRating" numFmtId="0">
      <sharedItems containsSemiMixedTypes="0" containsString="0" containsNumber="1" containsInteger="1" minValue="1" maxValue="5"/>
    </cacheField>
    <cacheField name="Overtime" numFmtId="0">
      <sharedItems count="2">
        <s v="Yes"/>
        <s v="No"/>
      </sharedItems>
    </cacheField>
    <cacheField name="WorkLocation" numFmtId="0">
      <sharedItems count="3">
        <s v="Remote"/>
        <s v="Hybrid"/>
        <s v="Onsite"/>
      </sharedItems>
    </cacheField>
    <cacheField name="Manager" numFmtId="0">
      <sharedItems/>
    </cacheField>
    <cacheField name="Annual Salary" numFmtId="0">
      <sharedItems containsSemiMixedTypes="0" containsString="0" containsNumber="1" containsInteger="1" minValue="48108" maxValue="239112"/>
    </cacheField>
    <cacheField name="Age Group" numFmtId="0">
      <sharedItems/>
    </cacheField>
    <cacheField name="Experience Level" numFmtId="0">
      <sharedItems count="3">
        <s v="Mid"/>
        <s v="Senior"/>
        <s v="Junior"/>
      </sharedItems>
    </cacheField>
    <cacheField name="Performance Category" numFmtId="0">
      <sharedItems count="3">
        <s v="Low"/>
        <s v="Hight"/>
        <s v="Medium"/>
      </sharedItems>
    </cacheField>
  </cacheFields>
  <extLst>
    <ext xmlns:x14="http://schemas.microsoft.com/office/spreadsheetml/2009/9/main" uri="{725AE2AE-9491-48be-B2B4-4EB974FC3084}">
      <x14:pivotCacheDefinition pivotCacheId="776121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15-07-13T00:00:00"/>
    <x v="0"/>
    <s v="Sales Executive"/>
    <x v="0"/>
    <n v="22"/>
    <n v="16057"/>
    <n v="7"/>
    <n v="1"/>
    <x v="0"/>
    <x v="0"/>
    <s v="Khaled Samir"/>
    <n v="192684"/>
    <s v="Under 30"/>
    <x v="0"/>
    <x v="0"/>
  </r>
  <r>
    <x v="1"/>
    <d v="2011-02-22T00:00:00"/>
    <x v="1"/>
    <s v="Financial Analyst"/>
    <x v="0"/>
    <n v="36"/>
    <n v="17387"/>
    <n v="14"/>
    <n v="2"/>
    <x v="1"/>
    <x v="0"/>
    <s v="Mona Ali"/>
    <n v="208644"/>
    <s v="30-45"/>
    <x v="1"/>
    <x v="0"/>
  </r>
  <r>
    <x v="2"/>
    <d v="2014-12-01T00:00:00"/>
    <x v="2"/>
    <s v="Operations Officer"/>
    <x v="1"/>
    <n v="23"/>
    <n v="8731"/>
    <n v="4"/>
    <n v="4"/>
    <x v="0"/>
    <x v="0"/>
    <s v="Sara Adel"/>
    <n v="104772"/>
    <s v="Under 30"/>
    <x v="0"/>
    <x v="1"/>
  </r>
  <r>
    <x v="3"/>
    <d v="2018-08-28T00:00:00"/>
    <x v="1"/>
    <s v="Accountant"/>
    <x v="1"/>
    <n v="26"/>
    <n v="11380"/>
    <n v="5"/>
    <n v="2"/>
    <x v="0"/>
    <x v="1"/>
    <s v="Khaled Samir"/>
    <n v="136560"/>
    <s v="Under 30"/>
    <x v="0"/>
    <x v="0"/>
  </r>
  <r>
    <x v="4"/>
    <d v="2022-09-29T00:00:00"/>
    <x v="3"/>
    <s v="Marketing Specialist"/>
    <x v="0"/>
    <n v="55"/>
    <n v="16289"/>
    <n v="15"/>
    <n v="5"/>
    <x v="0"/>
    <x v="1"/>
    <s v="Khaled Samir"/>
    <n v="195468"/>
    <s v="Above 45"/>
    <x v="1"/>
    <x v="1"/>
  </r>
  <r>
    <x v="5"/>
    <d v="2021-12-18T00:00:00"/>
    <x v="4"/>
    <s v="HR Executive"/>
    <x v="1"/>
    <n v="54"/>
    <n v="12162"/>
    <n v="4"/>
    <n v="1"/>
    <x v="1"/>
    <x v="2"/>
    <s v="Khaled Samir"/>
    <n v="145944"/>
    <s v="Above 45"/>
    <x v="0"/>
    <x v="0"/>
  </r>
  <r>
    <x v="6"/>
    <d v="2019-01-01T00:00:00"/>
    <x v="3"/>
    <s v="Content Creator"/>
    <x v="0"/>
    <n v="59"/>
    <n v="4448"/>
    <n v="2"/>
    <n v="1"/>
    <x v="1"/>
    <x v="0"/>
    <s v="Khaled Samir"/>
    <n v="53376"/>
    <s v="Above 45"/>
    <x v="2"/>
    <x v="0"/>
  </r>
  <r>
    <x v="7"/>
    <d v="2016-03-01T00:00:00"/>
    <x v="2"/>
    <s v="Operations Officer"/>
    <x v="1"/>
    <n v="51"/>
    <n v="5927"/>
    <n v="11"/>
    <n v="2"/>
    <x v="1"/>
    <x v="1"/>
    <s v="Mona Ali"/>
    <n v="71124"/>
    <s v="Above 45"/>
    <x v="1"/>
    <x v="0"/>
  </r>
  <r>
    <x v="8"/>
    <d v="2022-11-27T00:00:00"/>
    <x v="3"/>
    <s v="Content Creator"/>
    <x v="0"/>
    <n v="50"/>
    <n v="10137"/>
    <n v="0"/>
    <n v="4"/>
    <x v="1"/>
    <x v="2"/>
    <s v="Ahmed Hassan"/>
    <n v="121644"/>
    <s v="Above 45"/>
    <x v="2"/>
    <x v="1"/>
  </r>
  <r>
    <x v="9"/>
    <d v="2012-07-13T00:00:00"/>
    <x v="2"/>
    <s v="Supply Chain Analyst"/>
    <x v="0"/>
    <n v="26"/>
    <n v="16303"/>
    <n v="0"/>
    <n v="5"/>
    <x v="1"/>
    <x v="1"/>
    <s v="Khaled Samir"/>
    <n v="195636"/>
    <s v="Under 30"/>
    <x v="2"/>
    <x v="1"/>
  </r>
  <r>
    <x v="10"/>
    <d v="2023-05-02T00:00:00"/>
    <x v="0"/>
    <s v="Sales Executive"/>
    <x v="0"/>
    <n v="27"/>
    <n v="9012"/>
    <n v="0"/>
    <n v="1"/>
    <x v="0"/>
    <x v="0"/>
    <s v="Mona Ali"/>
    <n v="108144"/>
    <s v="Under 30"/>
    <x v="2"/>
    <x v="0"/>
  </r>
  <r>
    <x v="11"/>
    <d v="2015-04-20T00:00:00"/>
    <x v="2"/>
    <s v="Supply Chain Analyst"/>
    <x v="1"/>
    <n v="24"/>
    <n v="15012"/>
    <n v="14"/>
    <n v="1"/>
    <x v="1"/>
    <x v="0"/>
    <s v="Khaled Samir"/>
    <n v="180144"/>
    <s v="Under 30"/>
    <x v="1"/>
    <x v="0"/>
  </r>
  <r>
    <x v="12"/>
    <d v="2018-08-18T00:00:00"/>
    <x v="1"/>
    <s v="Accountant"/>
    <x v="0"/>
    <n v="42"/>
    <n v="12305"/>
    <n v="3"/>
    <n v="4"/>
    <x v="0"/>
    <x v="2"/>
    <s v="Sara Adel"/>
    <n v="147660"/>
    <s v="30-45"/>
    <x v="0"/>
    <x v="1"/>
  </r>
  <r>
    <x v="13"/>
    <d v="2015-05-20T00:00:00"/>
    <x v="3"/>
    <s v="Marketing Specialist"/>
    <x v="0"/>
    <n v="41"/>
    <n v="5545"/>
    <n v="13"/>
    <n v="5"/>
    <x v="1"/>
    <x v="1"/>
    <s v="Ahmed Hassan"/>
    <n v="66540"/>
    <s v="30-45"/>
    <x v="1"/>
    <x v="1"/>
  </r>
  <r>
    <x v="14"/>
    <d v="2019-10-15T00:00:00"/>
    <x v="5"/>
    <s v="Software Engineer"/>
    <x v="1"/>
    <n v="46"/>
    <n v="5189"/>
    <n v="10"/>
    <n v="3"/>
    <x v="1"/>
    <x v="0"/>
    <s v="Mona Ali"/>
    <n v="62268"/>
    <s v="Above 45"/>
    <x v="1"/>
    <x v="2"/>
  </r>
  <r>
    <x v="15"/>
    <d v="2019-07-06T00:00:00"/>
    <x v="0"/>
    <s v="Sales Executive"/>
    <x v="1"/>
    <n v="43"/>
    <n v="17648"/>
    <n v="15"/>
    <n v="1"/>
    <x v="0"/>
    <x v="2"/>
    <s v="Mona Ali"/>
    <n v="211776"/>
    <s v="30-45"/>
    <x v="1"/>
    <x v="0"/>
  </r>
  <r>
    <x v="16"/>
    <d v="2020-04-03T00:00:00"/>
    <x v="4"/>
    <s v="Recruiter"/>
    <x v="0"/>
    <n v="41"/>
    <n v="17695"/>
    <n v="8"/>
    <n v="1"/>
    <x v="0"/>
    <x v="1"/>
    <s v="Ahmed Hassan"/>
    <n v="212340"/>
    <s v="30-45"/>
    <x v="1"/>
    <x v="0"/>
  </r>
  <r>
    <x v="17"/>
    <d v="2021-02-09T00:00:00"/>
    <x v="4"/>
    <s v="Recruiter"/>
    <x v="1"/>
    <n v="37"/>
    <n v="12562"/>
    <n v="5"/>
    <n v="4"/>
    <x v="1"/>
    <x v="0"/>
    <s v="Youssef Mahmoud"/>
    <n v="150744"/>
    <s v="30-45"/>
    <x v="0"/>
    <x v="1"/>
  </r>
  <r>
    <x v="18"/>
    <d v="2018-08-20T00:00:00"/>
    <x v="2"/>
    <s v="Supply Chain Analyst"/>
    <x v="1"/>
    <n v="56"/>
    <n v="15214"/>
    <n v="13"/>
    <n v="2"/>
    <x v="1"/>
    <x v="0"/>
    <s v="Mona Ali"/>
    <n v="182568"/>
    <s v="Above 45"/>
    <x v="1"/>
    <x v="0"/>
  </r>
  <r>
    <x v="19"/>
    <d v="2011-08-02T00:00:00"/>
    <x v="1"/>
    <s v="Financial Analyst"/>
    <x v="0"/>
    <n v="41"/>
    <n v="9797"/>
    <n v="3"/>
    <n v="4"/>
    <x v="0"/>
    <x v="0"/>
    <s v="Youssef Mahmoud"/>
    <n v="117564"/>
    <s v="30-45"/>
    <x v="0"/>
    <x v="1"/>
  </r>
  <r>
    <x v="20"/>
    <d v="2018-05-12T00:00:00"/>
    <x v="0"/>
    <s v="Sales Executive"/>
    <x v="0"/>
    <n v="38"/>
    <n v="14850"/>
    <n v="15"/>
    <n v="4"/>
    <x v="0"/>
    <x v="2"/>
    <s v="Khaled Samir"/>
    <n v="178200"/>
    <s v="30-45"/>
    <x v="1"/>
    <x v="1"/>
  </r>
  <r>
    <x v="21"/>
    <d v="2020-07-04T00:00:00"/>
    <x v="1"/>
    <s v="Financial Analyst"/>
    <x v="1"/>
    <n v="44"/>
    <n v="9208"/>
    <n v="5"/>
    <n v="5"/>
    <x v="1"/>
    <x v="0"/>
    <s v="Mona Ali"/>
    <n v="110496"/>
    <s v="30-45"/>
    <x v="0"/>
    <x v="1"/>
  </r>
  <r>
    <x v="22"/>
    <d v="2014-05-27T00:00:00"/>
    <x v="5"/>
    <s v="IT Support"/>
    <x v="1"/>
    <n v="57"/>
    <n v="16017"/>
    <n v="2"/>
    <n v="3"/>
    <x v="0"/>
    <x v="0"/>
    <s v="Khaled Samir"/>
    <n v="192204"/>
    <s v="Above 45"/>
    <x v="2"/>
    <x v="2"/>
  </r>
  <r>
    <x v="23"/>
    <d v="2019-06-27T00:00:00"/>
    <x v="1"/>
    <s v="Financial Analyst"/>
    <x v="0"/>
    <n v="41"/>
    <n v="14197"/>
    <n v="9"/>
    <n v="4"/>
    <x v="0"/>
    <x v="0"/>
    <s v="Khaled Samir"/>
    <n v="170364"/>
    <s v="30-45"/>
    <x v="1"/>
    <x v="1"/>
  </r>
  <r>
    <x v="24"/>
    <d v="2011-07-10T00:00:00"/>
    <x v="0"/>
    <s v="Sales Executive"/>
    <x v="1"/>
    <n v="24"/>
    <n v="12854"/>
    <n v="2"/>
    <n v="4"/>
    <x v="0"/>
    <x v="0"/>
    <s v="Sara Adel"/>
    <n v="154248"/>
    <s v="Under 30"/>
    <x v="2"/>
    <x v="1"/>
  </r>
  <r>
    <x v="25"/>
    <d v="2014-05-14T00:00:00"/>
    <x v="0"/>
    <s v="Sales Manager"/>
    <x v="1"/>
    <n v="28"/>
    <n v="7208"/>
    <n v="2"/>
    <n v="4"/>
    <x v="0"/>
    <x v="0"/>
    <s v="Sara Adel"/>
    <n v="86496"/>
    <s v="Under 30"/>
    <x v="2"/>
    <x v="1"/>
  </r>
  <r>
    <x v="26"/>
    <d v="2020-11-19T00:00:00"/>
    <x v="2"/>
    <s v="Operations Officer"/>
    <x v="1"/>
    <n v="36"/>
    <n v="10809"/>
    <n v="4"/>
    <n v="4"/>
    <x v="1"/>
    <x v="0"/>
    <s v="Youssef Mahmoud"/>
    <n v="129708"/>
    <s v="30-45"/>
    <x v="0"/>
    <x v="1"/>
  </r>
  <r>
    <x v="27"/>
    <d v="2015-05-24T00:00:00"/>
    <x v="0"/>
    <s v="Sales Executive"/>
    <x v="0"/>
    <n v="33"/>
    <n v="6269"/>
    <n v="15"/>
    <n v="5"/>
    <x v="1"/>
    <x v="1"/>
    <s v="Youssef Mahmoud"/>
    <n v="75228"/>
    <s v="30-45"/>
    <x v="1"/>
    <x v="1"/>
  </r>
  <r>
    <x v="28"/>
    <d v="2022-11-07T00:00:00"/>
    <x v="2"/>
    <s v="Supply Chain Analyst"/>
    <x v="0"/>
    <n v="26"/>
    <n v="17810"/>
    <n v="1"/>
    <n v="1"/>
    <x v="1"/>
    <x v="0"/>
    <s v="Ahmed Hassan"/>
    <n v="213720"/>
    <s v="Under 30"/>
    <x v="2"/>
    <x v="0"/>
  </r>
  <r>
    <x v="29"/>
    <d v="2022-01-18T00:00:00"/>
    <x v="4"/>
    <s v="HR Executive"/>
    <x v="0"/>
    <n v="34"/>
    <n v="18565"/>
    <n v="13"/>
    <n v="3"/>
    <x v="0"/>
    <x v="2"/>
    <s v="Sara Adel"/>
    <n v="222780"/>
    <s v="30-45"/>
    <x v="1"/>
    <x v="2"/>
  </r>
  <r>
    <x v="30"/>
    <d v="2011-11-28T00:00:00"/>
    <x v="3"/>
    <s v="Marketing Specialist"/>
    <x v="0"/>
    <n v="37"/>
    <n v="13888"/>
    <n v="7"/>
    <n v="3"/>
    <x v="1"/>
    <x v="2"/>
    <s v="Youssef Mahmoud"/>
    <n v="166656"/>
    <s v="30-45"/>
    <x v="0"/>
    <x v="2"/>
  </r>
  <r>
    <x v="31"/>
    <d v="2016-03-21T00:00:00"/>
    <x v="1"/>
    <s v="Accountant"/>
    <x v="0"/>
    <n v="49"/>
    <n v="19157"/>
    <n v="13"/>
    <n v="5"/>
    <x v="1"/>
    <x v="1"/>
    <s v="Youssef Mahmoud"/>
    <n v="229884"/>
    <s v="Above 45"/>
    <x v="1"/>
    <x v="1"/>
  </r>
  <r>
    <x v="32"/>
    <d v="2022-09-24T00:00:00"/>
    <x v="3"/>
    <s v="Marketing Specialist"/>
    <x v="1"/>
    <n v="44"/>
    <n v="4897"/>
    <n v="11"/>
    <n v="3"/>
    <x v="1"/>
    <x v="0"/>
    <s v="Mona Ali"/>
    <n v="58764"/>
    <s v="30-45"/>
    <x v="1"/>
    <x v="2"/>
  </r>
  <r>
    <x v="33"/>
    <d v="2021-12-01T00:00:00"/>
    <x v="5"/>
    <s v="IT Support"/>
    <x v="0"/>
    <n v="46"/>
    <n v="17399"/>
    <n v="6"/>
    <n v="5"/>
    <x v="0"/>
    <x v="0"/>
    <s v="Sara Adel"/>
    <n v="208788"/>
    <s v="Above 45"/>
    <x v="0"/>
    <x v="1"/>
  </r>
  <r>
    <x v="34"/>
    <d v="2014-03-28T00:00:00"/>
    <x v="1"/>
    <s v="Financial Analyst"/>
    <x v="1"/>
    <n v="26"/>
    <n v="13262"/>
    <n v="3"/>
    <n v="4"/>
    <x v="1"/>
    <x v="2"/>
    <s v="Khaled Samir"/>
    <n v="159144"/>
    <s v="Under 30"/>
    <x v="0"/>
    <x v="1"/>
  </r>
  <r>
    <x v="35"/>
    <d v="2010-06-20T00:00:00"/>
    <x v="0"/>
    <s v="Sales Manager"/>
    <x v="1"/>
    <n v="27"/>
    <n v="11965"/>
    <n v="12"/>
    <n v="4"/>
    <x v="1"/>
    <x v="1"/>
    <s v="Youssef Mahmoud"/>
    <n v="143580"/>
    <s v="Under 30"/>
    <x v="1"/>
    <x v="1"/>
  </r>
  <r>
    <x v="36"/>
    <d v="2011-06-12T00:00:00"/>
    <x v="1"/>
    <s v="Financial Analyst"/>
    <x v="0"/>
    <n v="30"/>
    <n v="5323"/>
    <n v="1"/>
    <n v="4"/>
    <x v="1"/>
    <x v="0"/>
    <s v="Khaled Samir"/>
    <n v="63876"/>
    <s v="30-45"/>
    <x v="2"/>
    <x v="1"/>
  </r>
  <r>
    <x v="37"/>
    <d v="2019-11-19T00:00:00"/>
    <x v="2"/>
    <s v="Operations Officer"/>
    <x v="0"/>
    <n v="30"/>
    <n v="13882"/>
    <n v="13"/>
    <n v="4"/>
    <x v="0"/>
    <x v="1"/>
    <s v="Sara Adel"/>
    <n v="166584"/>
    <s v="30-45"/>
    <x v="1"/>
    <x v="1"/>
  </r>
  <r>
    <x v="38"/>
    <d v="2015-12-24T00:00:00"/>
    <x v="4"/>
    <s v="HR Executive"/>
    <x v="1"/>
    <n v="37"/>
    <n v="8738"/>
    <n v="4"/>
    <n v="5"/>
    <x v="1"/>
    <x v="1"/>
    <s v="Mona Ali"/>
    <n v="104856"/>
    <s v="30-45"/>
    <x v="0"/>
    <x v="1"/>
  </r>
  <r>
    <x v="39"/>
    <d v="2021-02-25T00:00:00"/>
    <x v="5"/>
    <s v="Software Engineer"/>
    <x v="0"/>
    <n v="58"/>
    <n v="5742"/>
    <n v="6"/>
    <n v="5"/>
    <x v="0"/>
    <x v="0"/>
    <s v="Khaled Samir"/>
    <n v="68904"/>
    <s v="Above 45"/>
    <x v="0"/>
    <x v="1"/>
  </r>
  <r>
    <x v="40"/>
    <d v="2019-05-02T00:00:00"/>
    <x v="3"/>
    <s v="Marketing Specialist"/>
    <x v="0"/>
    <n v="27"/>
    <n v="15101"/>
    <n v="5"/>
    <n v="2"/>
    <x v="1"/>
    <x v="1"/>
    <s v="Mona Ali"/>
    <n v="181212"/>
    <s v="Under 30"/>
    <x v="0"/>
    <x v="0"/>
  </r>
  <r>
    <x v="41"/>
    <d v="2018-07-23T00:00:00"/>
    <x v="5"/>
    <s v="Software Engineer"/>
    <x v="0"/>
    <n v="26"/>
    <n v="7734"/>
    <n v="1"/>
    <n v="1"/>
    <x v="0"/>
    <x v="2"/>
    <s v="Youssef Mahmoud"/>
    <n v="92808"/>
    <s v="Under 30"/>
    <x v="2"/>
    <x v="0"/>
  </r>
  <r>
    <x v="42"/>
    <d v="2023-04-08T00:00:00"/>
    <x v="4"/>
    <s v="Recruiter"/>
    <x v="0"/>
    <n v="44"/>
    <n v="4778"/>
    <n v="1"/>
    <n v="5"/>
    <x v="0"/>
    <x v="1"/>
    <s v="Khaled Samir"/>
    <n v="57336"/>
    <s v="30-45"/>
    <x v="2"/>
    <x v="1"/>
  </r>
  <r>
    <x v="43"/>
    <d v="2017-10-19T00:00:00"/>
    <x v="0"/>
    <s v="Sales Executive"/>
    <x v="0"/>
    <n v="33"/>
    <n v="11636"/>
    <n v="0"/>
    <n v="4"/>
    <x v="1"/>
    <x v="0"/>
    <s v="Youssef Mahmoud"/>
    <n v="139632"/>
    <s v="30-45"/>
    <x v="2"/>
    <x v="1"/>
  </r>
  <r>
    <x v="44"/>
    <d v="2020-08-08T00:00:00"/>
    <x v="4"/>
    <s v="HR Executive"/>
    <x v="1"/>
    <n v="41"/>
    <n v="14874"/>
    <n v="9"/>
    <n v="5"/>
    <x v="0"/>
    <x v="1"/>
    <s v="Ahmed Hassan"/>
    <n v="178488"/>
    <s v="30-45"/>
    <x v="1"/>
    <x v="1"/>
  </r>
  <r>
    <x v="45"/>
    <d v="2020-11-23T00:00:00"/>
    <x v="5"/>
    <s v="Software Engineer"/>
    <x v="1"/>
    <n v="28"/>
    <n v="16433"/>
    <n v="12"/>
    <n v="5"/>
    <x v="0"/>
    <x v="0"/>
    <s v="Youssef Mahmoud"/>
    <n v="197196"/>
    <s v="Under 30"/>
    <x v="1"/>
    <x v="1"/>
  </r>
  <r>
    <x v="46"/>
    <d v="2016-02-17T00:00:00"/>
    <x v="5"/>
    <s v="Data Analyst"/>
    <x v="0"/>
    <n v="23"/>
    <n v="16048"/>
    <n v="6"/>
    <n v="4"/>
    <x v="0"/>
    <x v="0"/>
    <s v="Ahmed Hassan"/>
    <n v="192576"/>
    <s v="Under 30"/>
    <x v="0"/>
    <x v="1"/>
  </r>
  <r>
    <x v="47"/>
    <d v="2016-08-29T00:00:00"/>
    <x v="0"/>
    <s v="Sales Executive"/>
    <x v="0"/>
    <n v="50"/>
    <n v="12469"/>
    <n v="4"/>
    <n v="3"/>
    <x v="1"/>
    <x v="1"/>
    <s v="Ahmed Hassan"/>
    <n v="149628"/>
    <s v="Above 45"/>
    <x v="0"/>
    <x v="2"/>
  </r>
  <r>
    <x v="48"/>
    <d v="2018-12-07T00:00:00"/>
    <x v="4"/>
    <s v="Recruiter"/>
    <x v="1"/>
    <n v="53"/>
    <n v="11772"/>
    <n v="11"/>
    <n v="4"/>
    <x v="1"/>
    <x v="2"/>
    <s v="Sara Adel"/>
    <n v="141264"/>
    <s v="Above 45"/>
    <x v="1"/>
    <x v="1"/>
  </r>
  <r>
    <x v="49"/>
    <d v="2015-08-10T00:00:00"/>
    <x v="1"/>
    <s v="Accountant"/>
    <x v="0"/>
    <n v="57"/>
    <n v="15419"/>
    <n v="14"/>
    <n v="1"/>
    <x v="1"/>
    <x v="1"/>
    <s v="Mona Ali"/>
    <n v="185028"/>
    <s v="Above 45"/>
    <x v="1"/>
    <x v="0"/>
  </r>
  <r>
    <x v="50"/>
    <d v="2021-07-24T00:00:00"/>
    <x v="0"/>
    <s v="Sales Executive"/>
    <x v="1"/>
    <n v="28"/>
    <n v="19918"/>
    <n v="3"/>
    <n v="1"/>
    <x v="1"/>
    <x v="1"/>
    <s v="Ahmed Hassan"/>
    <n v="239016"/>
    <s v="Under 30"/>
    <x v="0"/>
    <x v="0"/>
  </r>
  <r>
    <x v="51"/>
    <d v="2013-12-07T00:00:00"/>
    <x v="4"/>
    <s v="HR Executive"/>
    <x v="0"/>
    <n v="33"/>
    <n v="4153"/>
    <n v="13"/>
    <n v="1"/>
    <x v="1"/>
    <x v="1"/>
    <s v="Ahmed Hassan"/>
    <n v="49836"/>
    <s v="30-45"/>
    <x v="1"/>
    <x v="0"/>
  </r>
  <r>
    <x v="52"/>
    <d v="2022-08-28T00:00:00"/>
    <x v="5"/>
    <s v="IT Support"/>
    <x v="1"/>
    <n v="45"/>
    <n v="12063"/>
    <n v="7"/>
    <n v="1"/>
    <x v="1"/>
    <x v="1"/>
    <s v="Youssef Mahmoud"/>
    <n v="144756"/>
    <s v="30-45"/>
    <x v="0"/>
    <x v="0"/>
  </r>
  <r>
    <x v="53"/>
    <d v="2016-12-23T00:00:00"/>
    <x v="5"/>
    <s v="Data Analyst"/>
    <x v="0"/>
    <n v="26"/>
    <n v="16096"/>
    <n v="4"/>
    <n v="2"/>
    <x v="0"/>
    <x v="2"/>
    <s v="Sara Adel"/>
    <n v="193152"/>
    <s v="Under 30"/>
    <x v="0"/>
    <x v="0"/>
  </r>
  <r>
    <x v="54"/>
    <d v="2016-06-30T00:00:00"/>
    <x v="0"/>
    <s v="Sales Manager"/>
    <x v="1"/>
    <n v="54"/>
    <n v="17684"/>
    <n v="1"/>
    <n v="2"/>
    <x v="0"/>
    <x v="0"/>
    <s v="Youssef Mahmoud"/>
    <n v="212208"/>
    <s v="Above 45"/>
    <x v="2"/>
    <x v="0"/>
  </r>
  <r>
    <x v="55"/>
    <d v="2011-01-12T00:00:00"/>
    <x v="0"/>
    <s v="Sales Manager"/>
    <x v="0"/>
    <n v="54"/>
    <n v="12718"/>
    <n v="15"/>
    <n v="3"/>
    <x v="0"/>
    <x v="0"/>
    <s v="Sara Adel"/>
    <n v="152616"/>
    <s v="Above 45"/>
    <x v="1"/>
    <x v="2"/>
  </r>
  <r>
    <x v="56"/>
    <d v="2021-11-10T00:00:00"/>
    <x v="1"/>
    <s v="Accountant"/>
    <x v="0"/>
    <n v="25"/>
    <n v="6016"/>
    <n v="7"/>
    <n v="3"/>
    <x v="0"/>
    <x v="0"/>
    <s v="Sara Adel"/>
    <n v="72192"/>
    <s v="Under 30"/>
    <x v="0"/>
    <x v="2"/>
  </r>
  <r>
    <x v="57"/>
    <d v="2020-01-01T00:00:00"/>
    <x v="1"/>
    <s v="Accountant"/>
    <x v="0"/>
    <n v="22"/>
    <n v="10715"/>
    <n v="11"/>
    <n v="2"/>
    <x v="0"/>
    <x v="2"/>
    <s v="Youssef Mahmoud"/>
    <n v="128580"/>
    <s v="Under 30"/>
    <x v="1"/>
    <x v="0"/>
  </r>
  <r>
    <x v="58"/>
    <d v="2018-04-12T00:00:00"/>
    <x v="4"/>
    <s v="HR Executive"/>
    <x v="0"/>
    <n v="45"/>
    <n v="19436"/>
    <n v="8"/>
    <n v="1"/>
    <x v="0"/>
    <x v="2"/>
    <s v="Sara Adel"/>
    <n v="233232"/>
    <s v="30-45"/>
    <x v="1"/>
    <x v="0"/>
  </r>
  <r>
    <x v="59"/>
    <d v="2012-07-06T00:00:00"/>
    <x v="3"/>
    <s v="Content Creator"/>
    <x v="0"/>
    <n v="55"/>
    <n v="5291"/>
    <n v="4"/>
    <n v="5"/>
    <x v="0"/>
    <x v="0"/>
    <s v="Mona Ali"/>
    <n v="63492"/>
    <s v="Above 45"/>
    <x v="0"/>
    <x v="1"/>
  </r>
  <r>
    <x v="60"/>
    <d v="2017-01-14T00:00:00"/>
    <x v="1"/>
    <s v="Accountant"/>
    <x v="1"/>
    <n v="25"/>
    <n v="18870"/>
    <n v="4"/>
    <n v="3"/>
    <x v="0"/>
    <x v="2"/>
    <s v="Khaled Samir"/>
    <n v="226440"/>
    <s v="Under 30"/>
    <x v="0"/>
    <x v="2"/>
  </r>
  <r>
    <x v="61"/>
    <d v="2020-05-28T00:00:00"/>
    <x v="1"/>
    <s v="Financial Analyst"/>
    <x v="1"/>
    <n v="41"/>
    <n v="7269"/>
    <n v="0"/>
    <n v="3"/>
    <x v="0"/>
    <x v="1"/>
    <s v="Mona Ali"/>
    <n v="87228"/>
    <s v="30-45"/>
    <x v="2"/>
    <x v="2"/>
  </r>
  <r>
    <x v="62"/>
    <d v="2019-02-23T00:00:00"/>
    <x v="5"/>
    <s v="Software Engineer"/>
    <x v="0"/>
    <n v="34"/>
    <n v="18683"/>
    <n v="6"/>
    <n v="5"/>
    <x v="0"/>
    <x v="1"/>
    <s v="Khaled Samir"/>
    <n v="224196"/>
    <s v="30-45"/>
    <x v="0"/>
    <x v="1"/>
  </r>
  <r>
    <x v="63"/>
    <d v="2020-11-26T00:00:00"/>
    <x v="4"/>
    <s v="HR Executive"/>
    <x v="1"/>
    <n v="37"/>
    <n v="16402"/>
    <n v="5"/>
    <n v="4"/>
    <x v="1"/>
    <x v="1"/>
    <s v="Khaled Samir"/>
    <n v="196824"/>
    <s v="30-45"/>
    <x v="0"/>
    <x v="1"/>
  </r>
  <r>
    <x v="64"/>
    <d v="2020-07-29T00:00:00"/>
    <x v="2"/>
    <s v="Operations Officer"/>
    <x v="0"/>
    <n v="28"/>
    <n v="17265"/>
    <n v="0"/>
    <n v="2"/>
    <x v="1"/>
    <x v="0"/>
    <s v="Mona Ali"/>
    <n v="207180"/>
    <s v="Under 30"/>
    <x v="2"/>
    <x v="0"/>
  </r>
  <r>
    <x v="65"/>
    <d v="2023-06-04T00:00:00"/>
    <x v="4"/>
    <s v="Recruiter"/>
    <x v="0"/>
    <n v="38"/>
    <n v="6054"/>
    <n v="8"/>
    <n v="3"/>
    <x v="0"/>
    <x v="1"/>
    <s v="Khaled Samir"/>
    <n v="72648"/>
    <s v="30-45"/>
    <x v="1"/>
    <x v="2"/>
  </r>
  <r>
    <x v="66"/>
    <d v="2023-06-14T00:00:00"/>
    <x v="0"/>
    <s v="Sales Manager"/>
    <x v="1"/>
    <n v="32"/>
    <n v="10689"/>
    <n v="3"/>
    <n v="2"/>
    <x v="0"/>
    <x v="2"/>
    <s v="Sara Adel"/>
    <n v="128268"/>
    <s v="30-45"/>
    <x v="0"/>
    <x v="0"/>
  </r>
  <r>
    <x v="67"/>
    <d v="2019-07-21T00:00:00"/>
    <x v="3"/>
    <s v="Content Creator"/>
    <x v="0"/>
    <n v="34"/>
    <n v="9058"/>
    <n v="8"/>
    <n v="1"/>
    <x v="1"/>
    <x v="2"/>
    <s v="Khaled Samir"/>
    <n v="108696"/>
    <s v="30-45"/>
    <x v="1"/>
    <x v="0"/>
  </r>
  <r>
    <x v="68"/>
    <d v="2015-05-06T00:00:00"/>
    <x v="3"/>
    <s v="Content Creator"/>
    <x v="0"/>
    <n v="47"/>
    <n v="6396"/>
    <n v="3"/>
    <n v="4"/>
    <x v="0"/>
    <x v="0"/>
    <s v="Khaled Samir"/>
    <n v="76752"/>
    <s v="Above 45"/>
    <x v="0"/>
    <x v="1"/>
  </r>
  <r>
    <x v="69"/>
    <d v="2022-04-06T00:00:00"/>
    <x v="3"/>
    <s v="Marketing Specialist"/>
    <x v="0"/>
    <n v="33"/>
    <n v="7268"/>
    <n v="5"/>
    <n v="1"/>
    <x v="0"/>
    <x v="2"/>
    <s v="Youssef Mahmoud"/>
    <n v="87216"/>
    <s v="30-45"/>
    <x v="0"/>
    <x v="0"/>
  </r>
  <r>
    <x v="70"/>
    <d v="2015-07-10T00:00:00"/>
    <x v="0"/>
    <s v="Sales Manager"/>
    <x v="1"/>
    <n v="48"/>
    <n v="6680"/>
    <n v="2"/>
    <n v="3"/>
    <x v="0"/>
    <x v="2"/>
    <s v="Mona Ali"/>
    <n v="80160"/>
    <s v="Above 45"/>
    <x v="2"/>
    <x v="2"/>
  </r>
  <r>
    <x v="71"/>
    <d v="2013-12-20T00:00:00"/>
    <x v="2"/>
    <s v="Supply Chain Analyst"/>
    <x v="0"/>
    <n v="23"/>
    <n v="17474"/>
    <n v="12"/>
    <n v="5"/>
    <x v="1"/>
    <x v="1"/>
    <s v="Youssef Mahmoud"/>
    <n v="209688"/>
    <s v="Under 30"/>
    <x v="1"/>
    <x v="1"/>
  </r>
  <r>
    <x v="72"/>
    <d v="2021-10-17T00:00:00"/>
    <x v="2"/>
    <s v="Operations Officer"/>
    <x v="1"/>
    <n v="45"/>
    <n v="7291"/>
    <n v="2"/>
    <n v="3"/>
    <x v="1"/>
    <x v="1"/>
    <s v="Youssef Mahmoud"/>
    <n v="87492"/>
    <s v="30-45"/>
    <x v="2"/>
    <x v="2"/>
  </r>
  <r>
    <x v="73"/>
    <d v="2013-05-28T00:00:00"/>
    <x v="5"/>
    <s v="IT Support"/>
    <x v="1"/>
    <n v="57"/>
    <n v="11608"/>
    <n v="8"/>
    <n v="2"/>
    <x v="1"/>
    <x v="0"/>
    <s v="Khaled Samir"/>
    <n v="139296"/>
    <s v="Above 45"/>
    <x v="1"/>
    <x v="0"/>
  </r>
  <r>
    <x v="74"/>
    <d v="2021-08-29T00:00:00"/>
    <x v="4"/>
    <s v="Recruiter"/>
    <x v="1"/>
    <n v="47"/>
    <n v="5086"/>
    <n v="5"/>
    <n v="2"/>
    <x v="1"/>
    <x v="1"/>
    <s v="Mona Ali"/>
    <n v="61032"/>
    <s v="Above 45"/>
    <x v="0"/>
    <x v="0"/>
  </r>
  <r>
    <x v="75"/>
    <d v="2011-08-07T00:00:00"/>
    <x v="5"/>
    <s v="IT Support"/>
    <x v="1"/>
    <n v="52"/>
    <n v="17987"/>
    <n v="11"/>
    <n v="3"/>
    <x v="1"/>
    <x v="0"/>
    <s v="Ahmed Hassan"/>
    <n v="215844"/>
    <s v="Above 45"/>
    <x v="1"/>
    <x v="2"/>
  </r>
  <r>
    <x v="76"/>
    <d v="2015-08-23T00:00:00"/>
    <x v="1"/>
    <s v="Accountant"/>
    <x v="1"/>
    <n v="42"/>
    <n v="4639"/>
    <n v="0"/>
    <n v="4"/>
    <x v="1"/>
    <x v="0"/>
    <s v="Khaled Samir"/>
    <n v="55668"/>
    <s v="30-45"/>
    <x v="2"/>
    <x v="1"/>
  </r>
  <r>
    <x v="77"/>
    <d v="2014-04-01T00:00:00"/>
    <x v="2"/>
    <s v="Operations Officer"/>
    <x v="1"/>
    <n v="23"/>
    <n v="16916"/>
    <n v="6"/>
    <n v="2"/>
    <x v="1"/>
    <x v="1"/>
    <s v="Ahmed Hassan"/>
    <n v="202992"/>
    <s v="Under 30"/>
    <x v="0"/>
    <x v="0"/>
  </r>
  <r>
    <x v="78"/>
    <d v="2011-05-26T00:00:00"/>
    <x v="4"/>
    <s v="Recruiter"/>
    <x v="1"/>
    <n v="46"/>
    <n v="13953"/>
    <n v="7"/>
    <n v="4"/>
    <x v="0"/>
    <x v="2"/>
    <s v="Khaled Samir"/>
    <n v="167436"/>
    <s v="Above 45"/>
    <x v="0"/>
    <x v="1"/>
  </r>
  <r>
    <x v="79"/>
    <d v="2019-08-07T00:00:00"/>
    <x v="5"/>
    <s v="Software Engineer"/>
    <x v="1"/>
    <n v="36"/>
    <n v="17768"/>
    <n v="6"/>
    <n v="2"/>
    <x v="0"/>
    <x v="1"/>
    <s v="Ahmed Hassan"/>
    <n v="213216"/>
    <s v="30-45"/>
    <x v="0"/>
    <x v="0"/>
  </r>
  <r>
    <x v="80"/>
    <d v="2010-12-07T00:00:00"/>
    <x v="3"/>
    <s v="Content Creator"/>
    <x v="1"/>
    <n v="27"/>
    <n v="8639"/>
    <n v="1"/>
    <n v="3"/>
    <x v="0"/>
    <x v="2"/>
    <s v="Sara Adel"/>
    <n v="103668"/>
    <s v="Under 30"/>
    <x v="2"/>
    <x v="2"/>
  </r>
  <r>
    <x v="81"/>
    <d v="2021-09-09T00:00:00"/>
    <x v="3"/>
    <s v="Marketing Specialist"/>
    <x v="1"/>
    <n v="45"/>
    <n v="17468"/>
    <n v="13"/>
    <n v="4"/>
    <x v="1"/>
    <x v="1"/>
    <s v="Youssef Mahmoud"/>
    <n v="209616"/>
    <s v="30-45"/>
    <x v="1"/>
    <x v="1"/>
  </r>
  <r>
    <x v="82"/>
    <d v="2011-05-24T00:00:00"/>
    <x v="1"/>
    <s v="Financial Analyst"/>
    <x v="1"/>
    <n v="42"/>
    <n v="6689"/>
    <n v="13"/>
    <n v="4"/>
    <x v="1"/>
    <x v="0"/>
    <s v="Sara Adel"/>
    <n v="80268"/>
    <s v="30-45"/>
    <x v="1"/>
    <x v="1"/>
  </r>
  <r>
    <x v="83"/>
    <d v="2018-05-02T00:00:00"/>
    <x v="1"/>
    <s v="Financial Analyst"/>
    <x v="1"/>
    <n v="58"/>
    <n v="8586"/>
    <n v="14"/>
    <n v="4"/>
    <x v="1"/>
    <x v="1"/>
    <s v="Sara Adel"/>
    <n v="103032"/>
    <s v="Above 45"/>
    <x v="1"/>
    <x v="1"/>
  </r>
  <r>
    <x v="84"/>
    <d v="2015-09-23T00:00:00"/>
    <x v="4"/>
    <s v="HR Executive"/>
    <x v="0"/>
    <n v="35"/>
    <n v="4009"/>
    <n v="13"/>
    <n v="1"/>
    <x v="0"/>
    <x v="2"/>
    <s v="Khaled Samir"/>
    <n v="48108"/>
    <s v="30-45"/>
    <x v="1"/>
    <x v="0"/>
  </r>
  <r>
    <x v="85"/>
    <d v="2015-10-05T00:00:00"/>
    <x v="3"/>
    <s v="Content Creator"/>
    <x v="1"/>
    <n v="49"/>
    <n v="17447"/>
    <n v="6"/>
    <n v="1"/>
    <x v="0"/>
    <x v="0"/>
    <s v="Ahmed Hassan"/>
    <n v="209364"/>
    <s v="Above 45"/>
    <x v="0"/>
    <x v="0"/>
  </r>
  <r>
    <x v="86"/>
    <d v="2019-05-04T00:00:00"/>
    <x v="4"/>
    <s v="HR Executive"/>
    <x v="1"/>
    <n v="27"/>
    <n v="4572"/>
    <n v="14"/>
    <n v="2"/>
    <x v="1"/>
    <x v="0"/>
    <s v="Ahmed Hassan"/>
    <n v="54864"/>
    <s v="Under 30"/>
    <x v="1"/>
    <x v="0"/>
  </r>
  <r>
    <x v="87"/>
    <d v="2021-11-24T00:00:00"/>
    <x v="1"/>
    <s v="Financial Analyst"/>
    <x v="0"/>
    <n v="46"/>
    <n v="14937"/>
    <n v="2"/>
    <n v="1"/>
    <x v="1"/>
    <x v="0"/>
    <s v="Khaled Samir"/>
    <n v="179244"/>
    <s v="Above 45"/>
    <x v="2"/>
    <x v="0"/>
  </r>
  <r>
    <x v="88"/>
    <d v="2022-08-23T00:00:00"/>
    <x v="1"/>
    <s v="Financial Analyst"/>
    <x v="0"/>
    <n v="44"/>
    <n v="8106"/>
    <n v="7"/>
    <n v="3"/>
    <x v="0"/>
    <x v="2"/>
    <s v="Ahmed Hassan"/>
    <n v="97272"/>
    <s v="30-45"/>
    <x v="0"/>
    <x v="2"/>
  </r>
  <r>
    <x v="89"/>
    <d v="2020-09-08T00:00:00"/>
    <x v="5"/>
    <s v="Software Engineer"/>
    <x v="1"/>
    <n v="43"/>
    <n v="14979"/>
    <n v="7"/>
    <n v="1"/>
    <x v="0"/>
    <x v="0"/>
    <s v="Mona Ali"/>
    <n v="179748"/>
    <s v="30-45"/>
    <x v="0"/>
    <x v="0"/>
  </r>
  <r>
    <x v="90"/>
    <d v="2019-04-10T00:00:00"/>
    <x v="2"/>
    <s v="Supply Chain Analyst"/>
    <x v="0"/>
    <n v="35"/>
    <n v="11823"/>
    <n v="7"/>
    <n v="5"/>
    <x v="1"/>
    <x v="1"/>
    <s v="Youssef Mahmoud"/>
    <n v="141876"/>
    <s v="30-45"/>
    <x v="0"/>
    <x v="1"/>
  </r>
  <r>
    <x v="91"/>
    <d v="2016-04-09T00:00:00"/>
    <x v="0"/>
    <s v="Sales Manager"/>
    <x v="0"/>
    <n v="38"/>
    <n v="16396"/>
    <n v="2"/>
    <n v="2"/>
    <x v="0"/>
    <x v="0"/>
    <s v="Mona Ali"/>
    <n v="196752"/>
    <s v="30-45"/>
    <x v="2"/>
    <x v="0"/>
  </r>
  <r>
    <x v="92"/>
    <d v="2011-09-08T00:00:00"/>
    <x v="0"/>
    <s v="Sales Executive"/>
    <x v="1"/>
    <n v="24"/>
    <n v="14159"/>
    <n v="2"/>
    <n v="3"/>
    <x v="1"/>
    <x v="2"/>
    <s v="Khaled Samir"/>
    <n v="169908"/>
    <s v="Under 30"/>
    <x v="2"/>
    <x v="2"/>
  </r>
  <r>
    <x v="93"/>
    <d v="2020-03-31T00:00:00"/>
    <x v="1"/>
    <s v="Financial Analyst"/>
    <x v="0"/>
    <n v="60"/>
    <n v="12069"/>
    <n v="6"/>
    <n v="1"/>
    <x v="1"/>
    <x v="1"/>
    <s v="Sara Adel"/>
    <n v="144828"/>
    <s v="Above 45"/>
    <x v="0"/>
    <x v="0"/>
  </r>
  <r>
    <x v="94"/>
    <d v="2012-08-09T00:00:00"/>
    <x v="4"/>
    <s v="Recruiter"/>
    <x v="1"/>
    <n v="56"/>
    <n v="4304"/>
    <n v="13"/>
    <n v="1"/>
    <x v="0"/>
    <x v="1"/>
    <s v="Youssef Mahmoud"/>
    <n v="51648"/>
    <s v="Above 45"/>
    <x v="1"/>
    <x v="0"/>
  </r>
  <r>
    <x v="95"/>
    <d v="2010-05-15T00:00:00"/>
    <x v="5"/>
    <s v="Software Engineer"/>
    <x v="1"/>
    <n v="33"/>
    <n v="17893"/>
    <n v="10"/>
    <n v="2"/>
    <x v="0"/>
    <x v="2"/>
    <s v="Khaled Samir"/>
    <n v="214716"/>
    <s v="30-45"/>
    <x v="1"/>
    <x v="0"/>
  </r>
  <r>
    <x v="96"/>
    <d v="2017-09-11T00:00:00"/>
    <x v="2"/>
    <s v="Operations Officer"/>
    <x v="1"/>
    <n v="32"/>
    <n v="19440"/>
    <n v="10"/>
    <n v="4"/>
    <x v="1"/>
    <x v="2"/>
    <s v="Mona Ali"/>
    <n v="233280"/>
    <s v="30-45"/>
    <x v="1"/>
    <x v="1"/>
  </r>
  <r>
    <x v="97"/>
    <d v="2018-04-30T00:00:00"/>
    <x v="1"/>
    <s v="Accountant"/>
    <x v="1"/>
    <n v="28"/>
    <n v="6435"/>
    <n v="8"/>
    <n v="5"/>
    <x v="1"/>
    <x v="0"/>
    <s v="Mona Ali"/>
    <n v="77220"/>
    <s v="Under 30"/>
    <x v="1"/>
    <x v="1"/>
  </r>
  <r>
    <x v="98"/>
    <d v="2021-02-10T00:00:00"/>
    <x v="3"/>
    <s v="Marketing Specialist"/>
    <x v="1"/>
    <n v="22"/>
    <n v="16208"/>
    <n v="0"/>
    <n v="5"/>
    <x v="1"/>
    <x v="0"/>
    <s v="Mona Ali"/>
    <n v="194496"/>
    <s v="Under 30"/>
    <x v="2"/>
    <x v="1"/>
  </r>
  <r>
    <x v="99"/>
    <d v="2021-07-16T00:00:00"/>
    <x v="5"/>
    <s v="Data Analyst"/>
    <x v="1"/>
    <n v="35"/>
    <n v="13671"/>
    <n v="7"/>
    <n v="2"/>
    <x v="1"/>
    <x v="1"/>
    <s v="Sara Adel"/>
    <n v="164052"/>
    <s v="30-45"/>
    <x v="0"/>
    <x v="0"/>
  </r>
  <r>
    <x v="100"/>
    <d v="2012-05-14T00:00:00"/>
    <x v="1"/>
    <s v="Accountant"/>
    <x v="1"/>
    <n v="50"/>
    <n v="4165"/>
    <n v="4"/>
    <n v="4"/>
    <x v="1"/>
    <x v="2"/>
    <s v="Sara Adel"/>
    <n v="49980"/>
    <s v="Above 45"/>
    <x v="0"/>
    <x v="1"/>
  </r>
  <r>
    <x v="101"/>
    <d v="2021-10-27T00:00:00"/>
    <x v="2"/>
    <s v="Supply Chain Analyst"/>
    <x v="1"/>
    <n v="28"/>
    <n v="8739"/>
    <n v="2"/>
    <n v="2"/>
    <x v="1"/>
    <x v="1"/>
    <s v="Sara Adel"/>
    <n v="104868"/>
    <s v="Under 30"/>
    <x v="2"/>
    <x v="0"/>
  </r>
  <r>
    <x v="102"/>
    <d v="2012-05-22T00:00:00"/>
    <x v="1"/>
    <s v="Accountant"/>
    <x v="0"/>
    <n v="56"/>
    <n v="9092"/>
    <n v="11"/>
    <n v="2"/>
    <x v="0"/>
    <x v="2"/>
    <s v="Ahmed Hassan"/>
    <n v="109104"/>
    <s v="Above 45"/>
    <x v="1"/>
    <x v="0"/>
  </r>
  <r>
    <x v="103"/>
    <d v="2016-10-07T00:00:00"/>
    <x v="5"/>
    <s v="Software Engineer"/>
    <x v="0"/>
    <n v="48"/>
    <n v="4013"/>
    <n v="6"/>
    <n v="2"/>
    <x v="1"/>
    <x v="2"/>
    <s v="Sara Adel"/>
    <n v="48156"/>
    <s v="Above 45"/>
    <x v="0"/>
    <x v="0"/>
  </r>
  <r>
    <x v="104"/>
    <d v="2011-05-12T00:00:00"/>
    <x v="0"/>
    <s v="Sales Executive"/>
    <x v="0"/>
    <n v="42"/>
    <n v="5370"/>
    <n v="9"/>
    <n v="5"/>
    <x v="0"/>
    <x v="2"/>
    <s v="Youssef Mahmoud"/>
    <n v="64440"/>
    <s v="30-45"/>
    <x v="1"/>
    <x v="1"/>
  </r>
  <r>
    <x v="105"/>
    <d v="2017-07-03T00:00:00"/>
    <x v="1"/>
    <s v="Financial Analyst"/>
    <x v="1"/>
    <n v="47"/>
    <n v="5436"/>
    <n v="4"/>
    <n v="4"/>
    <x v="0"/>
    <x v="2"/>
    <s v="Mona Ali"/>
    <n v="65232"/>
    <s v="Above 45"/>
    <x v="0"/>
    <x v="1"/>
  </r>
  <r>
    <x v="106"/>
    <d v="2023-05-02T00:00:00"/>
    <x v="1"/>
    <s v="Financial Analyst"/>
    <x v="0"/>
    <n v="23"/>
    <n v="4463"/>
    <n v="7"/>
    <n v="2"/>
    <x v="1"/>
    <x v="2"/>
    <s v="Youssef Mahmoud"/>
    <n v="53556"/>
    <s v="Under 30"/>
    <x v="0"/>
    <x v="0"/>
  </r>
  <r>
    <x v="107"/>
    <d v="2015-07-12T00:00:00"/>
    <x v="1"/>
    <s v="Accountant"/>
    <x v="0"/>
    <n v="60"/>
    <n v="9428"/>
    <n v="8"/>
    <n v="5"/>
    <x v="0"/>
    <x v="1"/>
    <s v="Khaled Samir"/>
    <n v="113136"/>
    <s v="Above 45"/>
    <x v="1"/>
    <x v="1"/>
  </r>
  <r>
    <x v="108"/>
    <d v="2023-04-23T00:00:00"/>
    <x v="3"/>
    <s v="Marketing Specialist"/>
    <x v="1"/>
    <n v="52"/>
    <n v="8345"/>
    <n v="8"/>
    <n v="3"/>
    <x v="0"/>
    <x v="2"/>
    <s v="Sara Adel"/>
    <n v="100140"/>
    <s v="Above 45"/>
    <x v="1"/>
    <x v="2"/>
  </r>
  <r>
    <x v="109"/>
    <d v="2018-06-27T00:00:00"/>
    <x v="0"/>
    <s v="Sales Executive"/>
    <x v="0"/>
    <n v="44"/>
    <n v="11736"/>
    <n v="15"/>
    <n v="4"/>
    <x v="1"/>
    <x v="1"/>
    <s v="Sara Adel"/>
    <n v="140832"/>
    <s v="30-45"/>
    <x v="1"/>
    <x v="1"/>
  </r>
  <r>
    <x v="110"/>
    <d v="2021-08-22T00:00:00"/>
    <x v="4"/>
    <s v="Recruiter"/>
    <x v="0"/>
    <n v="38"/>
    <n v="17026"/>
    <n v="11"/>
    <n v="3"/>
    <x v="1"/>
    <x v="1"/>
    <s v="Mona Ali"/>
    <n v="204312"/>
    <s v="30-45"/>
    <x v="1"/>
    <x v="2"/>
  </r>
  <r>
    <x v="111"/>
    <d v="2011-04-09T00:00:00"/>
    <x v="0"/>
    <s v="Sales Executive"/>
    <x v="1"/>
    <n v="43"/>
    <n v="12957"/>
    <n v="9"/>
    <n v="2"/>
    <x v="1"/>
    <x v="2"/>
    <s v="Youssef Mahmoud"/>
    <n v="155484"/>
    <s v="30-45"/>
    <x v="1"/>
    <x v="0"/>
  </r>
  <r>
    <x v="112"/>
    <d v="2010-04-04T00:00:00"/>
    <x v="1"/>
    <s v="Accountant"/>
    <x v="0"/>
    <n v="52"/>
    <n v="19668"/>
    <n v="2"/>
    <n v="3"/>
    <x v="1"/>
    <x v="2"/>
    <s v="Ahmed Hassan"/>
    <n v="236016"/>
    <s v="Above 45"/>
    <x v="2"/>
    <x v="2"/>
  </r>
  <r>
    <x v="113"/>
    <d v="2022-02-15T00:00:00"/>
    <x v="2"/>
    <s v="Operations Officer"/>
    <x v="1"/>
    <n v="44"/>
    <n v="16327"/>
    <n v="10"/>
    <n v="2"/>
    <x v="1"/>
    <x v="1"/>
    <s v="Khaled Samir"/>
    <n v="195924"/>
    <s v="30-45"/>
    <x v="1"/>
    <x v="0"/>
  </r>
  <r>
    <x v="114"/>
    <d v="2011-03-23T00:00:00"/>
    <x v="1"/>
    <s v="Financial Analyst"/>
    <x v="1"/>
    <n v="23"/>
    <n v="4421"/>
    <n v="4"/>
    <n v="3"/>
    <x v="0"/>
    <x v="1"/>
    <s v="Youssef Mahmoud"/>
    <n v="53052"/>
    <s v="Under 30"/>
    <x v="0"/>
    <x v="2"/>
  </r>
  <r>
    <x v="115"/>
    <d v="2023-07-11T00:00:00"/>
    <x v="0"/>
    <s v="Sales Executive"/>
    <x v="0"/>
    <n v="43"/>
    <n v="9502"/>
    <n v="7"/>
    <n v="1"/>
    <x v="0"/>
    <x v="0"/>
    <s v="Ahmed Hassan"/>
    <n v="114024"/>
    <s v="30-45"/>
    <x v="0"/>
    <x v="0"/>
  </r>
  <r>
    <x v="116"/>
    <d v="2013-07-22T00:00:00"/>
    <x v="0"/>
    <s v="Sales Executive"/>
    <x v="0"/>
    <n v="59"/>
    <n v="17664"/>
    <n v="14"/>
    <n v="4"/>
    <x v="1"/>
    <x v="0"/>
    <s v="Sara Adel"/>
    <n v="211968"/>
    <s v="Above 45"/>
    <x v="1"/>
    <x v="1"/>
  </r>
  <r>
    <x v="117"/>
    <d v="2019-06-08T00:00:00"/>
    <x v="4"/>
    <s v="HR Executive"/>
    <x v="0"/>
    <n v="39"/>
    <n v="16040"/>
    <n v="0"/>
    <n v="1"/>
    <x v="0"/>
    <x v="2"/>
    <s v="Khaled Samir"/>
    <n v="192480"/>
    <s v="30-45"/>
    <x v="2"/>
    <x v="0"/>
  </r>
  <r>
    <x v="118"/>
    <d v="2012-07-16T00:00:00"/>
    <x v="5"/>
    <s v="Software Engineer"/>
    <x v="1"/>
    <n v="50"/>
    <n v="10952"/>
    <n v="6"/>
    <n v="5"/>
    <x v="1"/>
    <x v="2"/>
    <s v="Youssef Mahmoud"/>
    <n v="131424"/>
    <s v="Above 45"/>
    <x v="0"/>
    <x v="1"/>
  </r>
  <r>
    <x v="119"/>
    <d v="2014-07-20T00:00:00"/>
    <x v="0"/>
    <s v="Sales Executive"/>
    <x v="0"/>
    <n v="23"/>
    <n v="16765"/>
    <n v="14"/>
    <n v="3"/>
    <x v="1"/>
    <x v="1"/>
    <s v="Sara Adel"/>
    <n v="201180"/>
    <s v="Under 30"/>
    <x v="1"/>
    <x v="2"/>
  </r>
  <r>
    <x v="120"/>
    <d v="2011-04-10T00:00:00"/>
    <x v="1"/>
    <s v="Accountant"/>
    <x v="1"/>
    <n v="28"/>
    <n v="8191"/>
    <n v="14"/>
    <n v="4"/>
    <x v="0"/>
    <x v="0"/>
    <s v="Sara Adel"/>
    <n v="98292"/>
    <s v="Under 30"/>
    <x v="1"/>
    <x v="1"/>
  </r>
  <r>
    <x v="121"/>
    <d v="2016-11-23T00:00:00"/>
    <x v="5"/>
    <s v="Software Engineer"/>
    <x v="1"/>
    <n v="49"/>
    <n v="12471"/>
    <n v="10"/>
    <n v="3"/>
    <x v="0"/>
    <x v="0"/>
    <s v="Mona Ali"/>
    <n v="149652"/>
    <s v="Above 45"/>
    <x v="1"/>
    <x v="2"/>
  </r>
  <r>
    <x v="122"/>
    <d v="2020-08-23T00:00:00"/>
    <x v="1"/>
    <s v="Financial Analyst"/>
    <x v="0"/>
    <n v="22"/>
    <n v="6541"/>
    <n v="14"/>
    <n v="5"/>
    <x v="1"/>
    <x v="2"/>
    <s v="Ahmed Hassan"/>
    <n v="78492"/>
    <s v="Under 30"/>
    <x v="1"/>
    <x v="1"/>
  </r>
  <r>
    <x v="123"/>
    <d v="2019-12-18T00:00:00"/>
    <x v="2"/>
    <s v="Supply Chain Analyst"/>
    <x v="1"/>
    <n v="22"/>
    <n v="17819"/>
    <n v="8"/>
    <n v="3"/>
    <x v="0"/>
    <x v="0"/>
    <s v="Khaled Samir"/>
    <n v="213828"/>
    <s v="Under 30"/>
    <x v="1"/>
    <x v="2"/>
  </r>
  <r>
    <x v="124"/>
    <d v="2020-06-25T00:00:00"/>
    <x v="2"/>
    <s v="Operations Officer"/>
    <x v="1"/>
    <n v="30"/>
    <n v="11987"/>
    <n v="5"/>
    <n v="2"/>
    <x v="1"/>
    <x v="2"/>
    <s v="Youssef Mahmoud"/>
    <n v="143844"/>
    <s v="30-45"/>
    <x v="0"/>
    <x v="0"/>
  </r>
  <r>
    <x v="125"/>
    <d v="2011-09-14T00:00:00"/>
    <x v="1"/>
    <s v="Accountant"/>
    <x v="1"/>
    <n v="60"/>
    <n v="10297"/>
    <n v="1"/>
    <n v="4"/>
    <x v="0"/>
    <x v="0"/>
    <s v="Ahmed Hassan"/>
    <n v="123564"/>
    <s v="Above 45"/>
    <x v="2"/>
    <x v="1"/>
  </r>
  <r>
    <x v="126"/>
    <d v="2010-02-14T00:00:00"/>
    <x v="4"/>
    <s v="HR Executive"/>
    <x v="0"/>
    <n v="37"/>
    <n v="19206"/>
    <n v="14"/>
    <n v="2"/>
    <x v="0"/>
    <x v="2"/>
    <s v="Sara Adel"/>
    <n v="230472"/>
    <s v="30-45"/>
    <x v="1"/>
    <x v="0"/>
  </r>
  <r>
    <x v="127"/>
    <d v="2021-06-20T00:00:00"/>
    <x v="3"/>
    <s v="Content Creator"/>
    <x v="0"/>
    <n v="25"/>
    <n v="7068"/>
    <n v="3"/>
    <n v="1"/>
    <x v="1"/>
    <x v="1"/>
    <s v="Khaled Samir"/>
    <n v="84816"/>
    <s v="Under 30"/>
    <x v="0"/>
    <x v="0"/>
  </r>
  <r>
    <x v="128"/>
    <d v="2017-10-19T00:00:00"/>
    <x v="2"/>
    <s v="Operations Officer"/>
    <x v="1"/>
    <n v="52"/>
    <n v="17976"/>
    <n v="9"/>
    <n v="1"/>
    <x v="1"/>
    <x v="1"/>
    <s v="Sara Adel"/>
    <n v="215712"/>
    <s v="Above 45"/>
    <x v="1"/>
    <x v="0"/>
  </r>
  <r>
    <x v="129"/>
    <d v="2021-06-01T00:00:00"/>
    <x v="1"/>
    <s v="Financial Analyst"/>
    <x v="0"/>
    <n v="24"/>
    <n v="18541"/>
    <n v="12"/>
    <n v="4"/>
    <x v="1"/>
    <x v="1"/>
    <s v="Khaled Samir"/>
    <n v="222492"/>
    <s v="Under 30"/>
    <x v="1"/>
    <x v="1"/>
  </r>
  <r>
    <x v="130"/>
    <d v="2010-06-20T00:00:00"/>
    <x v="5"/>
    <s v="Software Engineer"/>
    <x v="1"/>
    <n v="26"/>
    <n v="4425"/>
    <n v="9"/>
    <n v="4"/>
    <x v="1"/>
    <x v="1"/>
    <s v="Sara Adel"/>
    <n v="53100"/>
    <s v="Under 30"/>
    <x v="1"/>
    <x v="1"/>
  </r>
  <r>
    <x v="131"/>
    <d v="2015-09-11T00:00:00"/>
    <x v="0"/>
    <s v="Sales Manager"/>
    <x v="0"/>
    <n v="59"/>
    <n v="8160"/>
    <n v="13"/>
    <n v="1"/>
    <x v="1"/>
    <x v="0"/>
    <s v="Mona Ali"/>
    <n v="97920"/>
    <s v="Above 45"/>
    <x v="1"/>
    <x v="0"/>
  </r>
  <r>
    <x v="132"/>
    <d v="2018-09-02T00:00:00"/>
    <x v="3"/>
    <s v="Marketing Specialist"/>
    <x v="0"/>
    <n v="52"/>
    <n v="9881"/>
    <n v="12"/>
    <n v="4"/>
    <x v="1"/>
    <x v="2"/>
    <s v="Khaled Samir"/>
    <n v="118572"/>
    <s v="Above 45"/>
    <x v="1"/>
    <x v="1"/>
  </r>
  <r>
    <x v="133"/>
    <d v="2015-02-03T00:00:00"/>
    <x v="2"/>
    <s v="Supply Chain Analyst"/>
    <x v="1"/>
    <n v="53"/>
    <n v="9130"/>
    <n v="7"/>
    <n v="5"/>
    <x v="1"/>
    <x v="1"/>
    <s v="Mona Ali"/>
    <n v="109560"/>
    <s v="Above 45"/>
    <x v="0"/>
    <x v="1"/>
  </r>
  <r>
    <x v="134"/>
    <d v="2015-03-02T00:00:00"/>
    <x v="5"/>
    <s v="Software Engineer"/>
    <x v="1"/>
    <n v="24"/>
    <n v="17355"/>
    <n v="10"/>
    <n v="5"/>
    <x v="1"/>
    <x v="0"/>
    <s v="Youssef Mahmoud"/>
    <n v="208260"/>
    <s v="Under 30"/>
    <x v="1"/>
    <x v="1"/>
  </r>
  <r>
    <x v="135"/>
    <d v="2013-07-01T00:00:00"/>
    <x v="1"/>
    <s v="Financial Analyst"/>
    <x v="1"/>
    <n v="51"/>
    <n v="4966"/>
    <n v="10"/>
    <n v="3"/>
    <x v="0"/>
    <x v="1"/>
    <s v="Ahmed Hassan"/>
    <n v="59592"/>
    <s v="Above 45"/>
    <x v="1"/>
    <x v="2"/>
  </r>
  <r>
    <x v="136"/>
    <d v="2015-11-28T00:00:00"/>
    <x v="1"/>
    <s v="Financial Analyst"/>
    <x v="0"/>
    <n v="41"/>
    <n v="7084"/>
    <n v="5"/>
    <n v="1"/>
    <x v="1"/>
    <x v="0"/>
    <s v="Mona Ali"/>
    <n v="85008"/>
    <s v="30-45"/>
    <x v="0"/>
    <x v="0"/>
  </r>
  <r>
    <x v="137"/>
    <d v="2020-11-08T00:00:00"/>
    <x v="5"/>
    <s v="IT Support"/>
    <x v="1"/>
    <n v="57"/>
    <n v="12768"/>
    <n v="10"/>
    <n v="1"/>
    <x v="0"/>
    <x v="1"/>
    <s v="Khaled Samir"/>
    <n v="153216"/>
    <s v="Above 45"/>
    <x v="1"/>
    <x v="0"/>
  </r>
  <r>
    <x v="138"/>
    <d v="2015-12-08T00:00:00"/>
    <x v="1"/>
    <s v="Accountant"/>
    <x v="1"/>
    <n v="53"/>
    <n v="13871"/>
    <n v="1"/>
    <n v="5"/>
    <x v="1"/>
    <x v="1"/>
    <s v="Ahmed Hassan"/>
    <n v="166452"/>
    <s v="Above 45"/>
    <x v="2"/>
    <x v="1"/>
  </r>
  <r>
    <x v="139"/>
    <d v="2023-05-10T00:00:00"/>
    <x v="0"/>
    <s v="Sales Executive"/>
    <x v="0"/>
    <n v="31"/>
    <n v="9724"/>
    <n v="12"/>
    <n v="2"/>
    <x v="0"/>
    <x v="0"/>
    <s v="Youssef Mahmoud"/>
    <n v="116688"/>
    <s v="30-45"/>
    <x v="1"/>
    <x v="0"/>
  </r>
  <r>
    <x v="140"/>
    <d v="2021-07-14T00:00:00"/>
    <x v="4"/>
    <s v="HR Executive"/>
    <x v="0"/>
    <n v="36"/>
    <n v="17483"/>
    <n v="14"/>
    <n v="2"/>
    <x v="0"/>
    <x v="1"/>
    <s v="Ahmed Hassan"/>
    <n v="209796"/>
    <s v="30-45"/>
    <x v="1"/>
    <x v="0"/>
  </r>
  <r>
    <x v="141"/>
    <d v="2019-04-13T00:00:00"/>
    <x v="1"/>
    <s v="Accountant"/>
    <x v="1"/>
    <n v="56"/>
    <n v="16902"/>
    <n v="15"/>
    <n v="1"/>
    <x v="0"/>
    <x v="2"/>
    <s v="Mona Ali"/>
    <n v="202824"/>
    <s v="Above 45"/>
    <x v="1"/>
    <x v="0"/>
  </r>
  <r>
    <x v="142"/>
    <d v="2022-12-04T00:00:00"/>
    <x v="5"/>
    <s v="Data Analyst"/>
    <x v="1"/>
    <n v="43"/>
    <n v="17122"/>
    <n v="12"/>
    <n v="3"/>
    <x v="1"/>
    <x v="2"/>
    <s v="Youssef Mahmoud"/>
    <n v="205464"/>
    <s v="30-45"/>
    <x v="1"/>
    <x v="2"/>
  </r>
  <r>
    <x v="143"/>
    <d v="2020-02-03T00:00:00"/>
    <x v="0"/>
    <s v="Sales Manager"/>
    <x v="1"/>
    <n v="24"/>
    <n v="17264"/>
    <n v="13"/>
    <n v="2"/>
    <x v="1"/>
    <x v="2"/>
    <s v="Ahmed Hassan"/>
    <n v="207168"/>
    <s v="Under 30"/>
    <x v="1"/>
    <x v="0"/>
  </r>
  <r>
    <x v="144"/>
    <d v="2014-02-05T00:00:00"/>
    <x v="4"/>
    <s v="Recruiter"/>
    <x v="0"/>
    <n v="48"/>
    <n v="14050"/>
    <n v="7"/>
    <n v="1"/>
    <x v="1"/>
    <x v="0"/>
    <s v="Ahmed Hassan"/>
    <n v="168600"/>
    <s v="Above 45"/>
    <x v="0"/>
    <x v="0"/>
  </r>
  <r>
    <x v="145"/>
    <d v="2019-02-10T00:00:00"/>
    <x v="3"/>
    <s v="Marketing Specialist"/>
    <x v="0"/>
    <n v="49"/>
    <n v="8500"/>
    <n v="9"/>
    <n v="1"/>
    <x v="0"/>
    <x v="2"/>
    <s v="Sara Adel"/>
    <n v="102000"/>
    <s v="Above 45"/>
    <x v="1"/>
    <x v="0"/>
  </r>
  <r>
    <x v="146"/>
    <d v="2018-11-21T00:00:00"/>
    <x v="2"/>
    <s v="Supply Chain Analyst"/>
    <x v="0"/>
    <n v="24"/>
    <n v="9169"/>
    <n v="6"/>
    <n v="2"/>
    <x v="1"/>
    <x v="0"/>
    <s v="Ahmed Hassan"/>
    <n v="110028"/>
    <s v="Under 30"/>
    <x v="0"/>
    <x v="0"/>
  </r>
  <r>
    <x v="147"/>
    <d v="2011-07-09T00:00:00"/>
    <x v="0"/>
    <s v="Sales Executive"/>
    <x v="0"/>
    <n v="32"/>
    <n v="5336"/>
    <n v="13"/>
    <n v="4"/>
    <x v="1"/>
    <x v="1"/>
    <s v="Youssef Mahmoud"/>
    <n v="64032"/>
    <s v="30-45"/>
    <x v="1"/>
    <x v="1"/>
  </r>
  <r>
    <x v="148"/>
    <d v="2020-04-02T00:00:00"/>
    <x v="4"/>
    <s v="Recruiter"/>
    <x v="1"/>
    <n v="29"/>
    <n v="13580"/>
    <n v="2"/>
    <n v="2"/>
    <x v="0"/>
    <x v="1"/>
    <s v="Youssef Mahmoud"/>
    <n v="162960"/>
    <s v="Under 30"/>
    <x v="2"/>
    <x v="0"/>
  </r>
  <r>
    <x v="149"/>
    <d v="2020-11-27T00:00:00"/>
    <x v="4"/>
    <s v="Recruiter"/>
    <x v="1"/>
    <n v="56"/>
    <n v="8940"/>
    <n v="4"/>
    <n v="3"/>
    <x v="0"/>
    <x v="2"/>
    <s v="Khaled Samir"/>
    <n v="107280"/>
    <s v="Above 45"/>
    <x v="0"/>
    <x v="2"/>
  </r>
  <r>
    <x v="150"/>
    <d v="2015-05-28T00:00:00"/>
    <x v="5"/>
    <s v="Software Engineer"/>
    <x v="1"/>
    <n v="38"/>
    <n v="18786"/>
    <n v="6"/>
    <n v="5"/>
    <x v="1"/>
    <x v="2"/>
    <s v="Sara Adel"/>
    <n v="225432"/>
    <s v="30-45"/>
    <x v="0"/>
    <x v="1"/>
  </r>
  <r>
    <x v="151"/>
    <d v="2023-07-02T00:00:00"/>
    <x v="1"/>
    <s v="Accountant"/>
    <x v="1"/>
    <n v="45"/>
    <n v="14729"/>
    <n v="12"/>
    <n v="3"/>
    <x v="0"/>
    <x v="1"/>
    <s v="Youssef Mahmoud"/>
    <n v="176748"/>
    <s v="30-45"/>
    <x v="1"/>
    <x v="2"/>
  </r>
  <r>
    <x v="152"/>
    <d v="2014-07-26T00:00:00"/>
    <x v="5"/>
    <s v="Software Engineer"/>
    <x v="1"/>
    <n v="40"/>
    <n v="6468"/>
    <n v="4"/>
    <n v="1"/>
    <x v="1"/>
    <x v="1"/>
    <s v="Sara Adel"/>
    <n v="77616"/>
    <s v="30-45"/>
    <x v="0"/>
    <x v="0"/>
  </r>
  <r>
    <x v="153"/>
    <d v="2023-04-25T00:00:00"/>
    <x v="1"/>
    <s v="Accountant"/>
    <x v="0"/>
    <n v="47"/>
    <n v="18330"/>
    <n v="9"/>
    <n v="1"/>
    <x v="1"/>
    <x v="2"/>
    <s v="Ahmed Hassan"/>
    <n v="219960"/>
    <s v="Above 45"/>
    <x v="1"/>
    <x v="0"/>
  </r>
  <r>
    <x v="154"/>
    <d v="2015-03-21T00:00:00"/>
    <x v="0"/>
    <s v="Sales Manager"/>
    <x v="1"/>
    <n v="26"/>
    <n v="7287"/>
    <n v="4"/>
    <n v="5"/>
    <x v="0"/>
    <x v="0"/>
    <s v="Youssef Mahmoud"/>
    <n v="87444"/>
    <s v="Under 30"/>
    <x v="0"/>
    <x v="1"/>
  </r>
  <r>
    <x v="155"/>
    <d v="2018-10-19T00:00:00"/>
    <x v="5"/>
    <s v="Data Analyst"/>
    <x v="1"/>
    <n v="45"/>
    <n v="18789"/>
    <n v="11"/>
    <n v="1"/>
    <x v="0"/>
    <x v="2"/>
    <s v="Sara Adel"/>
    <n v="225468"/>
    <s v="30-45"/>
    <x v="1"/>
    <x v="0"/>
  </r>
  <r>
    <x v="156"/>
    <d v="2020-02-26T00:00:00"/>
    <x v="2"/>
    <s v="Supply Chain Analyst"/>
    <x v="1"/>
    <n v="46"/>
    <n v="17248"/>
    <n v="7"/>
    <n v="2"/>
    <x v="1"/>
    <x v="1"/>
    <s v="Mona Ali"/>
    <n v="206976"/>
    <s v="Above 45"/>
    <x v="0"/>
    <x v="0"/>
  </r>
  <r>
    <x v="157"/>
    <d v="2016-11-05T00:00:00"/>
    <x v="5"/>
    <s v="Data Analyst"/>
    <x v="1"/>
    <n v="43"/>
    <n v="17261"/>
    <n v="6"/>
    <n v="5"/>
    <x v="1"/>
    <x v="0"/>
    <s v="Ahmed Hassan"/>
    <n v="207132"/>
    <s v="30-45"/>
    <x v="0"/>
    <x v="1"/>
  </r>
  <r>
    <x v="158"/>
    <d v="2013-08-11T00:00:00"/>
    <x v="4"/>
    <s v="Recruiter"/>
    <x v="0"/>
    <n v="53"/>
    <n v="15840"/>
    <n v="0"/>
    <n v="3"/>
    <x v="1"/>
    <x v="2"/>
    <s v="Ahmed Hassan"/>
    <n v="190080"/>
    <s v="Above 45"/>
    <x v="2"/>
    <x v="2"/>
  </r>
  <r>
    <x v="159"/>
    <d v="2016-06-15T00:00:00"/>
    <x v="1"/>
    <s v="Accountant"/>
    <x v="1"/>
    <n v="53"/>
    <n v="16320"/>
    <n v="5"/>
    <n v="4"/>
    <x v="1"/>
    <x v="1"/>
    <s v="Mona Ali"/>
    <n v="195840"/>
    <s v="Above 45"/>
    <x v="0"/>
    <x v="1"/>
  </r>
  <r>
    <x v="160"/>
    <d v="2020-01-25T00:00:00"/>
    <x v="2"/>
    <s v="Supply Chain Analyst"/>
    <x v="1"/>
    <n v="59"/>
    <n v="8938"/>
    <n v="1"/>
    <n v="5"/>
    <x v="1"/>
    <x v="2"/>
    <s v="Ahmed Hassan"/>
    <n v="107256"/>
    <s v="Above 45"/>
    <x v="2"/>
    <x v="1"/>
  </r>
  <r>
    <x v="161"/>
    <d v="2019-03-20T00:00:00"/>
    <x v="4"/>
    <s v="Recruiter"/>
    <x v="1"/>
    <n v="32"/>
    <n v="5491"/>
    <n v="1"/>
    <n v="2"/>
    <x v="1"/>
    <x v="1"/>
    <s v="Khaled Samir"/>
    <n v="65892"/>
    <s v="30-45"/>
    <x v="2"/>
    <x v="0"/>
  </r>
  <r>
    <x v="162"/>
    <d v="2022-06-06T00:00:00"/>
    <x v="1"/>
    <s v="Financial Analyst"/>
    <x v="0"/>
    <n v="60"/>
    <n v="18191"/>
    <n v="8"/>
    <n v="5"/>
    <x v="1"/>
    <x v="1"/>
    <s v="Khaled Samir"/>
    <n v="218292"/>
    <s v="Above 45"/>
    <x v="1"/>
    <x v="1"/>
  </r>
  <r>
    <x v="163"/>
    <d v="2010-03-14T00:00:00"/>
    <x v="0"/>
    <s v="Sales Executive"/>
    <x v="0"/>
    <n v="40"/>
    <n v="15785"/>
    <n v="2"/>
    <n v="2"/>
    <x v="1"/>
    <x v="2"/>
    <s v="Khaled Samir"/>
    <n v="189420"/>
    <s v="30-45"/>
    <x v="2"/>
    <x v="0"/>
  </r>
  <r>
    <x v="164"/>
    <d v="2020-07-30T00:00:00"/>
    <x v="0"/>
    <s v="Sales Executive"/>
    <x v="1"/>
    <n v="27"/>
    <n v="17844"/>
    <n v="5"/>
    <n v="1"/>
    <x v="1"/>
    <x v="2"/>
    <s v="Mona Ali"/>
    <n v="214128"/>
    <s v="Under 30"/>
    <x v="0"/>
    <x v="0"/>
  </r>
  <r>
    <x v="165"/>
    <d v="2011-10-19T00:00:00"/>
    <x v="2"/>
    <s v="Supply Chain Analyst"/>
    <x v="1"/>
    <n v="46"/>
    <n v="8526"/>
    <n v="0"/>
    <n v="3"/>
    <x v="1"/>
    <x v="2"/>
    <s v="Mona Ali"/>
    <n v="102312"/>
    <s v="Above 45"/>
    <x v="2"/>
    <x v="2"/>
  </r>
  <r>
    <x v="166"/>
    <d v="2012-05-29T00:00:00"/>
    <x v="3"/>
    <s v="Content Creator"/>
    <x v="0"/>
    <n v="27"/>
    <n v="10884"/>
    <n v="10"/>
    <n v="2"/>
    <x v="0"/>
    <x v="0"/>
    <s v="Youssef Mahmoud"/>
    <n v="130608"/>
    <s v="Under 30"/>
    <x v="1"/>
    <x v="0"/>
  </r>
  <r>
    <x v="167"/>
    <d v="2010-03-09T00:00:00"/>
    <x v="3"/>
    <s v="Marketing Specialist"/>
    <x v="0"/>
    <n v="28"/>
    <n v="10335"/>
    <n v="5"/>
    <n v="1"/>
    <x v="0"/>
    <x v="1"/>
    <s v="Khaled Samir"/>
    <n v="124020"/>
    <s v="Under 30"/>
    <x v="0"/>
    <x v="0"/>
  </r>
  <r>
    <x v="168"/>
    <d v="2019-03-04T00:00:00"/>
    <x v="4"/>
    <s v="HR Executive"/>
    <x v="0"/>
    <n v="42"/>
    <n v="10497"/>
    <n v="13"/>
    <n v="2"/>
    <x v="1"/>
    <x v="2"/>
    <s v="Youssef Mahmoud"/>
    <n v="125964"/>
    <s v="30-45"/>
    <x v="1"/>
    <x v="0"/>
  </r>
  <r>
    <x v="169"/>
    <d v="2014-06-08T00:00:00"/>
    <x v="4"/>
    <s v="Recruiter"/>
    <x v="0"/>
    <n v="28"/>
    <n v="11704"/>
    <n v="9"/>
    <n v="2"/>
    <x v="1"/>
    <x v="0"/>
    <s v="Mona Ali"/>
    <n v="140448"/>
    <s v="Under 30"/>
    <x v="1"/>
    <x v="0"/>
  </r>
  <r>
    <x v="170"/>
    <d v="2019-09-21T00:00:00"/>
    <x v="4"/>
    <s v="Recruiter"/>
    <x v="0"/>
    <n v="35"/>
    <n v="6585"/>
    <n v="6"/>
    <n v="1"/>
    <x v="0"/>
    <x v="2"/>
    <s v="Mona Ali"/>
    <n v="79020"/>
    <s v="30-45"/>
    <x v="0"/>
    <x v="0"/>
  </r>
  <r>
    <x v="171"/>
    <d v="2013-04-01T00:00:00"/>
    <x v="1"/>
    <s v="Financial Analyst"/>
    <x v="0"/>
    <n v="38"/>
    <n v="4363"/>
    <n v="1"/>
    <n v="5"/>
    <x v="0"/>
    <x v="0"/>
    <s v="Youssef Mahmoud"/>
    <n v="52356"/>
    <s v="30-45"/>
    <x v="2"/>
    <x v="1"/>
  </r>
  <r>
    <x v="172"/>
    <d v="2011-01-01T00:00:00"/>
    <x v="3"/>
    <s v="Content Creator"/>
    <x v="0"/>
    <n v="54"/>
    <n v="19206"/>
    <n v="4"/>
    <n v="4"/>
    <x v="0"/>
    <x v="1"/>
    <s v="Sara Adel"/>
    <n v="230472"/>
    <s v="Above 45"/>
    <x v="0"/>
    <x v="1"/>
  </r>
  <r>
    <x v="173"/>
    <d v="2010-12-25T00:00:00"/>
    <x v="3"/>
    <s v="Content Creator"/>
    <x v="0"/>
    <n v="38"/>
    <n v="13334"/>
    <n v="4"/>
    <n v="3"/>
    <x v="1"/>
    <x v="2"/>
    <s v="Khaled Samir"/>
    <n v="160008"/>
    <s v="30-45"/>
    <x v="0"/>
    <x v="2"/>
  </r>
  <r>
    <x v="174"/>
    <d v="2019-06-17T00:00:00"/>
    <x v="4"/>
    <s v="HR Executive"/>
    <x v="0"/>
    <n v="25"/>
    <n v="11884"/>
    <n v="15"/>
    <n v="2"/>
    <x v="1"/>
    <x v="2"/>
    <s v="Khaled Samir"/>
    <n v="142608"/>
    <s v="Under 30"/>
    <x v="1"/>
    <x v="0"/>
  </r>
  <r>
    <x v="175"/>
    <d v="2018-09-20T00:00:00"/>
    <x v="2"/>
    <s v="Operations Officer"/>
    <x v="1"/>
    <n v="46"/>
    <n v="11618"/>
    <n v="11"/>
    <n v="4"/>
    <x v="0"/>
    <x v="1"/>
    <s v="Ahmed Hassan"/>
    <n v="139416"/>
    <s v="Above 45"/>
    <x v="1"/>
    <x v="1"/>
  </r>
  <r>
    <x v="176"/>
    <d v="2016-03-24T00:00:00"/>
    <x v="3"/>
    <s v="Content Creator"/>
    <x v="1"/>
    <n v="35"/>
    <n v="16157"/>
    <n v="7"/>
    <n v="2"/>
    <x v="1"/>
    <x v="1"/>
    <s v="Khaled Samir"/>
    <n v="193884"/>
    <s v="30-45"/>
    <x v="0"/>
    <x v="0"/>
  </r>
  <r>
    <x v="177"/>
    <d v="2022-08-22T00:00:00"/>
    <x v="0"/>
    <s v="Sales Manager"/>
    <x v="0"/>
    <n v="42"/>
    <n v="14590"/>
    <n v="9"/>
    <n v="3"/>
    <x v="0"/>
    <x v="0"/>
    <s v="Mona Ali"/>
    <n v="175080"/>
    <s v="30-45"/>
    <x v="1"/>
    <x v="2"/>
  </r>
  <r>
    <x v="178"/>
    <d v="2020-10-15T00:00:00"/>
    <x v="2"/>
    <s v="Operations Officer"/>
    <x v="0"/>
    <n v="45"/>
    <n v="5571"/>
    <n v="13"/>
    <n v="4"/>
    <x v="1"/>
    <x v="0"/>
    <s v="Sara Adel"/>
    <n v="66852"/>
    <s v="30-45"/>
    <x v="1"/>
    <x v="1"/>
  </r>
  <r>
    <x v="179"/>
    <d v="2011-12-15T00:00:00"/>
    <x v="2"/>
    <s v="Supply Chain Analyst"/>
    <x v="1"/>
    <n v="54"/>
    <n v="6306"/>
    <n v="8"/>
    <n v="5"/>
    <x v="0"/>
    <x v="1"/>
    <s v="Sara Adel"/>
    <n v="75672"/>
    <s v="Above 45"/>
    <x v="1"/>
    <x v="1"/>
  </r>
  <r>
    <x v="180"/>
    <d v="2011-05-05T00:00:00"/>
    <x v="3"/>
    <s v="Content Creator"/>
    <x v="0"/>
    <n v="59"/>
    <n v="13963"/>
    <n v="10"/>
    <n v="4"/>
    <x v="0"/>
    <x v="1"/>
    <s v="Mona Ali"/>
    <n v="167556"/>
    <s v="Above 45"/>
    <x v="1"/>
    <x v="1"/>
  </r>
  <r>
    <x v="181"/>
    <d v="2016-05-03T00:00:00"/>
    <x v="5"/>
    <s v="Data Analyst"/>
    <x v="1"/>
    <n v="29"/>
    <n v="19266"/>
    <n v="14"/>
    <n v="4"/>
    <x v="1"/>
    <x v="2"/>
    <s v="Sara Adel"/>
    <n v="231192"/>
    <s v="Under 30"/>
    <x v="1"/>
    <x v="1"/>
  </r>
  <r>
    <x v="182"/>
    <d v="2020-05-11T00:00:00"/>
    <x v="1"/>
    <s v="Accountant"/>
    <x v="0"/>
    <n v="28"/>
    <n v="13020"/>
    <n v="8"/>
    <n v="5"/>
    <x v="0"/>
    <x v="1"/>
    <s v="Mona Ali"/>
    <n v="156240"/>
    <s v="Under 30"/>
    <x v="1"/>
    <x v="1"/>
  </r>
  <r>
    <x v="183"/>
    <d v="2019-07-24T00:00:00"/>
    <x v="2"/>
    <s v="Operations Officer"/>
    <x v="0"/>
    <n v="23"/>
    <n v="8712"/>
    <n v="7"/>
    <n v="5"/>
    <x v="0"/>
    <x v="2"/>
    <s v="Mona Ali"/>
    <n v="104544"/>
    <s v="Under 30"/>
    <x v="0"/>
    <x v="1"/>
  </r>
  <r>
    <x v="184"/>
    <d v="2011-05-17T00:00:00"/>
    <x v="0"/>
    <s v="Sales Executive"/>
    <x v="1"/>
    <n v="48"/>
    <n v="4601"/>
    <n v="3"/>
    <n v="3"/>
    <x v="0"/>
    <x v="0"/>
    <s v="Sara Adel"/>
    <n v="55212"/>
    <s v="Above 45"/>
    <x v="0"/>
    <x v="2"/>
  </r>
  <r>
    <x v="185"/>
    <d v="2018-01-17T00:00:00"/>
    <x v="1"/>
    <s v="Financial Analyst"/>
    <x v="1"/>
    <n v="47"/>
    <n v="15035"/>
    <n v="3"/>
    <n v="2"/>
    <x v="0"/>
    <x v="0"/>
    <s v="Youssef Mahmoud"/>
    <n v="180420"/>
    <s v="Above 45"/>
    <x v="0"/>
    <x v="0"/>
  </r>
  <r>
    <x v="186"/>
    <d v="2010-07-15T00:00:00"/>
    <x v="0"/>
    <s v="Sales Manager"/>
    <x v="0"/>
    <n v="53"/>
    <n v="12715"/>
    <n v="4"/>
    <n v="5"/>
    <x v="0"/>
    <x v="1"/>
    <s v="Ahmed Hassan"/>
    <n v="152580"/>
    <s v="Above 45"/>
    <x v="0"/>
    <x v="1"/>
  </r>
  <r>
    <x v="187"/>
    <d v="2011-06-17T00:00:00"/>
    <x v="4"/>
    <s v="Recruiter"/>
    <x v="1"/>
    <n v="43"/>
    <n v="13920"/>
    <n v="6"/>
    <n v="2"/>
    <x v="1"/>
    <x v="2"/>
    <s v="Sara Adel"/>
    <n v="167040"/>
    <s v="30-45"/>
    <x v="0"/>
    <x v="0"/>
  </r>
  <r>
    <x v="188"/>
    <d v="2019-10-30T00:00:00"/>
    <x v="0"/>
    <s v="Sales Executive"/>
    <x v="1"/>
    <n v="33"/>
    <n v="12249"/>
    <n v="9"/>
    <n v="2"/>
    <x v="0"/>
    <x v="0"/>
    <s v="Sara Adel"/>
    <n v="146988"/>
    <s v="30-45"/>
    <x v="1"/>
    <x v="0"/>
  </r>
  <r>
    <x v="189"/>
    <d v="2017-05-11T00:00:00"/>
    <x v="0"/>
    <s v="Sales Manager"/>
    <x v="0"/>
    <n v="39"/>
    <n v="12697"/>
    <n v="5"/>
    <n v="2"/>
    <x v="0"/>
    <x v="0"/>
    <s v="Youssef Mahmoud"/>
    <n v="152364"/>
    <s v="30-45"/>
    <x v="0"/>
    <x v="0"/>
  </r>
  <r>
    <x v="190"/>
    <d v="2013-09-22T00:00:00"/>
    <x v="4"/>
    <s v="Recruiter"/>
    <x v="0"/>
    <n v="54"/>
    <n v="16006"/>
    <n v="4"/>
    <n v="3"/>
    <x v="1"/>
    <x v="2"/>
    <s v="Mona Ali"/>
    <n v="192072"/>
    <s v="Above 45"/>
    <x v="0"/>
    <x v="2"/>
  </r>
  <r>
    <x v="191"/>
    <d v="2018-09-05T00:00:00"/>
    <x v="0"/>
    <s v="Sales Executive"/>
    <x v="0"/>
    <n v="31"/>
    <n v="8902"/>
    <n v="8"/>
    <n v="1"/>
    <x v="0"/>
    <x v="2"/>
    <s v="Mona Ali"/>
    <n v="106824"/>
    <s v="30-45"/>
    <x v="1"/>
    <x v="0"/>
  </r>
  <r>
    <x v="192"/>
    <d v="2020-08-22T00:00:00"/>
    <x v="4"/>
    <s v="HR Executive"/>
    <x v="1"/>
    <n v="36"/>
    <n v="17042"/>
    <n v="3"/>
    <n v="1"/>
    <x v="0"/>
    <x v="2"/>
    <s v="Ahmed Hassan"/>
    <n v="204504"/>
    <s v="30-45"/>
    <x v="0"/>
    <x v="0"/>
  </r>
  <r>
    <x v="193"/>
    <d v="2018-04-19T00:00:00"/>
    <x v="4"/>
    <s v="HR Executive"/>
    <x v="1"/>
    <n v="38"/>
    <n v="6717"/>
    <n v="12"/>
    <n v="3"/>
    <x v="1"/>
    <x v="1"/>
    <s v="Youssef Mahmoud"/>
    <n v="80604"/>
    <s v="30-45"/>
    <x v="1"/>
    <x v="2"/>
  </r>
  <r>
    <x v="194"/>
    <d v="2010-01-16T00:00:00"/>
    <x v="5"/>
    <s v="Data Analyst"/>
    <x v="1"/>
    <n v="46"/>
    <n v="19076"/>
    <n v="6"/>
    <n v="2"/>
    <x v="1"/>
    <x v="2"/>
    <s v="Khaled Samir"/>
    <n v="228912"/>
    <s v="Above 45"/>
    <x v="0"/>
    <x v="0"/>
  </r>
  <r>
    <x v="195"/>
    <d v="2017-10-12T00:00:00"/>
    <x v="5"/>
    <s v="Data Analyst"/>
    <x v="1"/>
    <n v="37"/>
    <n v="10907"/>
    <n v="8"/>
    <n v="3"/>
    <x v="0"/>
    <x v="2"/>
    <s v="Youssef Mahmoud"/>
    <n v="130884"/>
    <s v="30-45"/>
    <x v="1"/>
    <x v="2"/>
  </r>
  <r>
    <x v="196"/>
    <d v="2018-02-14T00:00:00"/>
    <x v="5"/>
    <s v="IT Support"/>
    <x v="0"/>
    <n v="24"/>
    <n v="5215"/>
    <n v="1"/>
    <n v="4"/>
    <x v="0"/>
    <x v="0"/>
    <s v="Khaled Samir"/>
    <n v="62580"/>
    <s v="Under 30"/>
    <x v="2"/>
    <x v="1"/>
  </r>
  <r>
    <x v="197"/>
    <d v="2022-06-05T00:00:00"/>
    <x v="1"/>
    <s v="Financial Analyst"/>
    <x v="0"/>
    <n v="34"/>
    <n v="19715"/>
    <n v="6"/>
    <n v="1"/>
    <x v="0"/>
    <x v="2"/>
    <s v="Mona Ali"/>
    <n v="236580"/>
    <s v="30-45"/>
    <x v="0"/>
    <x v="0"/>
  </r>
  <r>
    <x v="198"/>
    <d v="2011-02-10T00:00:00"/>
    <x v="1"/>
    <s v="Financial Analyst"/>
    <x v="0"/>
    <n v="43"/>
    <n v="17290"/>
    <n v="11"/>
    <n v="4"/>
    <x v="0"/>
    <x v="2"/>
    <s v="Youssef Mahmoud"/>
    <n v="207480"/>
    <s v="30-45"/>
    <x v="1"/>
    <x v="1"/>
  </r>
  <r>
    <x v="199"/>
    <d v="2017-10-02T00:00:00"/>
    <x v="5"/>
    <s v="Data Analyst"/>
    <x v="0"/>
    <n v="56"/>
    <n v="16313"/>
    <n v="12"/>
    <n v="3"/>
    <x v="0"/>
    <x v="0"/>
    <s v="Mona Ali"/>
    <n v="195756"/>
    <s v="Above 45"/>
    <x v="1"/>
    <x v="2"/>
  </r>
  <r>
    <x v="200"/>
    <d v="2016-07-11T00:00:00"/>
    <x v="4"/>
    <s v="Recruiter"/>
    <x v="1"/>
    <n v="23"/>
    <n v="11129"/>
    <n v="2"/>
    <n v="4"/>
    <x v="0"/>
    <x v="2"/>
    <s v="Ahmed Hassan"/>
    <n v="133548"/>
    <s v="Under 30"/>
    <x v="2"/>
    <x v="1"/>
  </r>
  <r>
    <x v="201"/>
    <d v="2016-07-16T00:00:00"/>
    <x v="4"/>
    <s v="Recruiter"/>
    <x v="1"/>
    <n v="23"/>
    <n v="8446"/>
    <n v="3"/>
    <n v="4"/>
    <x v="0"/>
    <x v="0"/>
    <s v="Khaled Samir"/>
    <n v="101352"/>
    <s v="Under 30"/>
    <x v="0"/>
    <x v="1"/>
  </r>
  <r>
    <x v="202"/>
    <d v="2022-07-26T00:00:00"/>
    <x v="3"/>
    <s v="Content Creator"/>
    <x v="1"/>
    <n v="53"/>
    <n v="19577"/>
    <n v="12"/>
    <n v="2"/>
    <x v="0"/>
    <x v="2"/>
    <s v="Ahmed Hassan"/>
    <n v="234924"/>
    <s v="Above 45"/>
    <x v="1"/>
    <x v="0"/>
  </r>
  <r>
    <x v="203"/>
    <d v="2022-07-13T00:00:00"/>
    <x v="3"/>
    <s v="Marketing Specialist"/>
    <x v="0"/>
    <n v="59"/>
    <n v="17190"/>
    <n v="10"/>
    <n v="3"/>
    <x v="0"/>
    <x v="0"/>
    <s v="Sara Adel"/>
    <n v="206280"/>
    <s v="Above 45"/>
    <x v="1"/>
    <x v="2"/>
  </r>
  <r>
    <x v="204"/>
    <d v="2016-06-05T00:00:00"/>
    <x v="2"/>
    <s v="Supply Chain Analyst"/>
    <x v="1"/>
    <n v="59"/>
    <n v="7685"/>
    <n v="0"/>
    <n v="2"/>
    <x v="1"/>
    <x v="1"/>
    <s v="Mona Ali"/>
    <n v="92220"/>
    <s v="Above 45"/>
    <x v="2"/>
    <x v="0"/>
  </r>
  <r>
    <x v="205"/>
    <d v="2017-03-04T00:00:00"/>
    <x v="2"/>
    <s v="Operations Officer"/>
    <x v="0"/>
    <n v="55"/>
    <n v="14861"/>
    <n v="4"/>
    <n v="2"/>
    <x v="0"/>
    <x v="2"/>
    <s v="Ahmed Hassan"/>
    <n v="178332"/>
    <s v="Above 45"/>
    <x v="0"/>
    <x v="0"/>
  </r>
  <r>
    <x v="206"/>
    <d v="2014-09-25T00:00:00"/>
    <x v="3"/>
    <s v="Content Creator"/>
    <x v="0"/>
    <n v="23"/>
    <n v="12914"/>
    <n v="15"/>
    <n v="5"/>
    <x v="0"/>
    <x v="2"/>
    <s v="Mona Ali"/>
    <n v="154968"/>
    <s v="Under 30"/>
    <x v="1"/>
    <x v="1"/>
  </r>
  <r>
    <x v="207"/>
    <d v="2012-06-01T00:00:00"/>
    <x v="2"/>
    <s v="Operations Officer"/>
    <x v="0"/>
    <n v="41"/>
    <n v="19866"/>
    <n v="9"/>
    <n v="4"/>
    <x v="0"/>
    <x v="2"/>
    <s v="Ahmed Hassan"/>
    <n v="238392"/>
    <s v="30-45"/>
    <x v="1"/>
    <x v="1"/>
  </r>
  <r>
    <x v="208"/>
    <d v="2016-07-05T00:00:00"/>
    <x v="0"/>
    <s v="Sales Manager"/>
    <x v="1"/>
    <n v="22"/>
    <n v="8534"/>
    <n v="0"/>
    <n v="2"/>
    <x v="0"/>
    <x v="0"/>
    <s v="Ahmed Hassan"/>
    <n v="102408"/>
    <s v="Under 30"/>
    <x v="2"/>
    <x v="0"/>
  </r>
  <r>
    <x v="209"/>
    <d v="2010-11-23T00:00:00"/>
    <x v="5"/>
    <s v="Data Analyst"/>
    <x v="0"/>
    <n v="53"/>
    <n v="13928"/>
    <n v="7"/>
    <n v="4"/>
    <x v="0"/>
    <x v="0"/>
    <s v="Youssef Mahmoud"/>
    <n v="167136"/>
    <s v="Above 45"/>
    <x v="0"/>
    <x v="1"/>
  </r>
  <r>
    <x v="210"/>
    <d v="2010-09-15T00:00:00"/>
    <x v="1"/>
    <s v="Financial Analyst"/>
    <x v="0"/>
    <n v="58"/>
    <n v="17345"/>
    <n v="1"/>
    <n v="2"/>
    <x v="0"/>
    <x v="2"/>
    <s v="Mona Ali"/>
    <n v="208140"/>
    <s v="Above 45"/>
    <x v="2"/>
    <x v="0"/>
  </r>
  <r>
    <x v="211"/>
    <d v="2017-06-26T00:00:00"/>
    <x v="5"/>
    <s v="Software Engineer"/>
    <x v="1"/>
    <n v="52"/>
    <n v="4663"/>
    <n v="11"/>
    <n v="2"/>
    <x v="1"/>
    <x v="1"/>
    <s v="Sara Adel"/>
    <n v="55956"/>
    <s v="Above 45"/>
    <x v="1"/>
    <x v="0"/>
  </r>
  <r>
    <x v="212"/>
    <d v="2011-04-03T00:00:00"/>
    <x v="2"/>
    <s v="Operations Officer"/>
    <x v="1"/>
    <n v="55"/>
    <n v="9900"/>
    <n v="8"/>
    <n v="2"/>
    <x v="1"/>
    <x v="0"/>
    <s v="Ahmed Hassan"/>
    <n v="118800"/>
    <s v="Above 45"/>
    <x v="1"/>
    <x v="0"/>
  </r>
  <r>
    <x v="213"/>
    <d v="2015-01-06T00:00:00"/>
    <x v="5"/>
    <s v="IT Support"/>
    <x v="0"/>
    <n v="51"/>
    <n v="7713"/>
    <n v="12"/>
    <n v="4"/>
    <x v="0"/>
    <x v="0"/>
    <s v="Ahmed Hassan"/>
    <n v="92556"/>
    <s v="Above 45"/>
    <x v="1"/>
    <x v="1"/>
  </r>
  <r>
    <x v="214"/>
    <d v="2018-10-23T00:00:00"/>
    <x v="1"/>
    <s v="Financial Analyst"/>
    <x v="0"/>
    <n v="35"/>
    <n v="19631"/>
    <n v="11"/>
    <n v="3"/>
    <x v="1"/>
    <x v="1"/>
    <s v="Khaled Samir"/>
    <n v="235572"/>
    <s v="30-45"/>
    <x v="1"/>
    <x v="2"/>
  </r>
  <r>
    <x v="215"/>
    <d v="2021-06-17T00:00:00"/>
    <x v="3"/>
    <s v="Marketing Specialist"/>
    <x v="0"/>
    <n v="26"/>
    <n v="12713"/>
    <n v="3"/>
    <n v="1"/>
    <x v="1"/>
    <x v="2"/>
    <s v="Sara Adel"/>
    <n v="152556"/>
    <s v="Under 30"/>
    <x v="0"/>
    <x v="0"/>
  </r>
  <r>
    <x v="216"/>
    <d v="2014-01-06T00:00:00"/>
    <x v="5"/>
    <s v="Software Engineer"/>
    <x v="1"/>
    <n v="58"/>
    <n v="6491"/>
    <n v="2"/>
    <n v="5"/>
    <x v="0"/>
    <x v="1"/>
    <s v="Khaled Samir"/>
    <n v="77892"/>
    <s v="Above 45"/>
    <x v="2"/>
    <x v="1"/>
  </r>
  <r>
    <x v="217"/>
    <d v="2019-10-18T00:00:00"/>
    <x v="4"/>
    <s v="HR Executive"/>
    <x v="1"/>
    <n v="22"/>
    <n v="10212"/>
    <n v="7"/>
    <n v="1"/>
    <x v="1"/>
    <x v="1"/>
    <s v="Ahmed Hassan"/>
    <n v="122544"/>
    <s v="Under 30"/>
    <x v="0"/>
    <x v="0"/>
  </r>
  <r>
    <x v="218"/>
    <d v="2018-10-16T00:00:00"/>
    <x v="2"/>
    <s v="Supply Chain Analyst"/>
    <x v="1"/>
    <n v="49"/>
    <n v="11311"/>
    <n v="14"/>
    <n v="5"/>
    <x v="1"/>
    <x v="2"/>
    <s v="Ahmed Hassan"/>
    <n v="135732"/>
    <s v="Above 45"/>
    <x v="1"/>
    <x v="1"/>
  </r>
  <r>
    <x v="219"/>
    <d v="2018-11-16T00:00:00"/>
    <x v="5"/>
    <s v="Software Engineer"/>
    <x v="1"/>
    <n v="49"/>
    <n v="12562"/>
    <n v="8"/>
    <n v="4"/>
    <x v="0"/>
    <x v="2"/>
    <s v="Mona Ali"/>
    <n v="150744"/>
    <s v="Above 45"/>
    <x v="1"/>
    <x v="1"/>
  </r>
  <r>
    <x v="220"/>
    <d v="2012-08-01T00:00:00"/>
    <x v="3"/>
    <s v="Content Creator"/>
    <x v="0"/>
    <n v="47"/>
    <n v="6945"/>
    <n v="13"/>
    <n v="1"/>
    <x v="0"/>
    <x v="1"/>
    <s v="Ahmed Hassan"/>
    <n v="83340"/>
    <s v="Above 45"/>
    <x v="1"/>
    <x v="0"/>
  </r>
  <r>
    <x v="221"/>
    <d v="2014-09-23T00:00:00"/>
    <x v="0"/>
    <s v="Sales Executive"/>
    <x v="0"/>
    <n v="27"/>
    <n v="9376"/>
    <n v="1"/>
    <n v="2"/>
    <x v="1"/>
    <x v="2"/>
    <s v="Ahmed Hassan"/>
    <n v="112512"/>
    <s v="Under 30"/>
    <x v="2"/>
    <x v="0"/>
  </r>
  <r>
    <x v="222"/>
    <d v="2010-02-26T00:00:00"/>
    <x v="1"/>
    <s v="Accountant"/>
    <x v="1"/>
    <n v="29"/>
    <n v="17528"/>
    <n v="10"/>
    <n v="2"/>
    <x v="1"/>
    <x v="0"/>
    <s v="Sara Adel"/>
    <n v="210336"/>
    <s v="Under 30"/>
    <x v="1"/>
    <x v="0"/>
  </r>
  <r>
    <x v="223"/>
    <d v="2021-03-22T00:00:00"/>
    <x v="3"/>
    <s v="Content Creator"/>
    <x v="1"/>
    <n v="39"/>
    <n v="16595"/>
    <n v="8"/>
    <n v="5"/>
    <x v="0"/>
    <x v="2"/>
    <s v="Youssef Mahmoud"/>
    <n v="199140"/>
    <s v="30-45"/>
    <x v="1"/>
    <x v="1"/>
  </r>
  <r>
    <x v="224"/>
    <d v="2013-03-18T00:00:00"/>
    <x v="1"/>
    <s v="Financial Analyst"/>
    <x v="1"/>
    <n v="52"/>
    <n v="9294"/>
    <n v="3"/>
    <n v="3"/>
    <x v="1"/>
    <x v="2"/>
    <s v="Mona Ali"/>
    <n v="111528"/>
    <s v="Above 45"/>
    <x v="0"/>
    <x v="2"/>
  </r>
  <r>
    <x v="225"/>
    <d v="2015-01-23T00:00:00"/>
    <x v="2"/>
    <s v="Operations Officer"/>
    <x v="0"/>
    <n v="39"/>
    <n v="18679"/>
    <n v="6"/>
    <n v="1"/>
    <x v="0"/>
    <x v="1"/>
    <s v="Mona Ali"/>
    <n v="224148"/>
    <s v="30-45"/>
    <x v="0"/>
    <x v="0"/>
  </r>
  <r>
    <x v="226"/>
    <d v="2019-09-29T00:00:00"/>
    <x v="1"/>
    <s v="Accountant"/>
    <x v="1"/>
    <n v="22"/>
    <n v="12887"/>
    <n v="12"/>
    <n v="2"/>
    <x v="1"/>
    <x v="0"/>
    <s v="Mona Ali"/>
    <n v="154644"/>
    <s v="Under 30"/>
    <x v="1"/>
    <x v="0"/>
  </r>
  <r>
    <x v="227"/>
    <d v="2011-10-06T00:00:00"/>
    <x v="4"/>
    <s v="Recruiter"/>
    <x v="0"/>
    <n v="28"/>
    <n v="8807"/>
    <n v="1"/>
    <n v="3"/>
    <x v="1"/>
    <x v="2"/>
    <s v="Khaled Samir"/>
    <n v="105684"/>
    <s v="Under 30"/>
    <x v="2"/>
    <x v="2"/>
  </r>
  <r>
    <x v="228"/>
    <d v="2017-07-22T00:00:00"/>
    <x v="3"/>
    <s v="Content Creator"/>
    <x v="0"/>
    <n v="59"/>
    <n v="17912"/>
    <n v="12"/>
    <n v="5"/>
    <x v="0"/>
    <x v="1"/>
    <s v="Sara Adel"/>
    <n v="214944"/>
    <s v="Above 45"/>
    <x v="1"/>
    <x v="1"/>
  </r>
  <r>
    <x v="229"/>
    <d v="2020-11-29T00:00:00"/>
    <x v="4"/>
    <s v="Recruiter"/>
    <x v="0"/>
    <n v="24"/>
    <n v="4536"/>
    <n v="3"/>
    <n v="5"/>
    <x v="1"/>
    <x v="2"/>
    <s v="Mona Ali"/>
    <n v="54432"/>
    <s v="Under 30"/>
    <x v="0"/>
    <x v="1"/>
  </r>
  <r>
    <x v="230"/>
    <d v="2014-03-18T00:00:00"/>
    <x v="4"/>
    <s v="Recruiter"/>
    <x v="0"/>
    <n v="25"/>
    <n v="4375"/>
    <n v="6"/>
    <n v="5"/>
    <x v="0"/>
    <x v="2"/>
    <s v="Mona Ali"/>
    <n v="52500"/>
    <s v="Under 30"/>
    <x v="0"/>
    <x v="1"/>
  </r>
  <r>
    <x v="231"/>
    <d v="2016-04-30T00:00:00"/>
    <x v="2"/>
    <s v="Supply Chain Analyst"/>
    <x v="0"/>
    <n v="60"/>
    <n v="15901"/>
    <n v="11"/>
    <n v="2"/>
    <x v="1"/>
    <x v="1"/>
    <s v="Sara Adel"/>
    <n v="190812"/>
    <s v="Above 45"/>
    <x v="1"/>
    <x v="0"/>
  </r>
  <r>
    <x v="232"/>
    <d v="2015-11-07T00:00:00"/>
    <x v="3"/>
    <s v="Content Creator"/>
    <x v="1"/>
    <n v="47"/>
    <n v="17833"/>
    <n v="10"/>
    <n v="4"/>
    <x v="1"/>
    <x v="0"/>
    <s v="Mona Ali"/>
    <n v="213996"/>
    <s v="Above 45"/>
    <x v="1"/>
    <x v="1"/>
  </r>
  <r>
    <x v="233"/>
    <d v="2010-10-30T00:00:00"/>
    <x v="3"/>
    <s v="Content Creator"/>
    <x v="0"/>
    <n v="44"/>
    <n v="19664"/>
    <n v="14"/>
    <n v="2"/>
    <x v="0"/>
    <x v="1"/>
    <s v="Sara Adel"/>
    <n v="235968"/>
    <s v="30-45"/>
    <x v="1"/>
    <x v="0"/>
  </r>
  <r>
    <x v="234"/>
    <d v="2021-08-21T00:00:00"/>
    <x v="0"/>
    <s v="Sales Manager"/>
    <x v="1"/>
    <n v="50"/>
    <n v="14741"/>
    <n v="8"/>
    <n v="2"/>
    <x v="0"/>
    <x v="0"/>
    <s v="Khaled Samir"/>
    <n v="176892"/>
    <s v="Above 45"/>
    <x v="1"/>
    <x v="0"/>
  </r>
  <r>
    <x v="235"/>
    <d v="2023-08-08T00:00:00"/>
    <x v="4"/>
    <s v="HR Executive"/>
    <x v="1"/>
    <n v="51"/>
    <n v="19639"/>
    <n v="12"/>
    <n v="1"/>
    <x v="0"/>
    <x v="2"/>
    <s v="Mona Ali"/>
    <n v="235668"/>
    <s v="Above 45"/>
    <x v="1"/>
    <x v="0"/>
  </r>
  <r>
    <x v="236"/>
    <d v="2011-09-18T00:00:00"/>
    <x v="0"/>
    <s v="Sales Executive"/>
    <x v="1"/>
    <n v="33"/>
    <n v="15143"/>
    <n v="4"/>
    <n v="2"/>
    <x v="1"/>
    <x v="2"/>
    <s v="Mona Ali"/>
    <n v="181716"/>
    <s v="30-45"/>
    <x v="0"/>
    <x v="0"/>
  </r>
  <r>
    <x v="237"/>
    <d v="2013-05-19T00:00:00"/>
    <x v="3"/>
    <s v="Marketing Specialist"/>
    <x v="0"/>
    <n v="33"/>
    <n v="8996"/>
    <n v="14"/>
    <n v="2"/>
    <x v="1"/>
    <x v="1"/>
    <s v="Khaled Samir"/>
    <n v="107952"/>
    <s v="30-45"/>
    <x v="1"/>
    <x v="0"/>
  </r>
  <r>
    <x v="238"/>
    <d v="2014-04-24T00:00:00"/>
    <x v="1"/>
    <s v="Accountant"/>
    <x v="1"/>
    <n v="30"/>
    <n v="7930"/>
    <n v="9"/>
    <n v="1"/>
    <x v="0"/>
    <x v="1"/>
    <s v="Ahmed Hassan"/>
    <n v="95160"/>
    <s v="30-45"/>
    <x v="1"/>
    <x v="0"/>
  </r>
  <r>
    <x v="239"/>
    <d v="2020-09-23T00:00:00"/>
    <x v="1"/>
    <s v="Financial Analyst"/>
    <x v="1"/>
    <n v="29"/>
    <n v="4079"/>
    <n v="1"/>
    <n v="1"/>
    <x v="1"/>
    <x v="1"/>
    <s v="Khaled Samir"/>
    <n v="48948"/>
    <s v="Under 30"/>
    <x v="2"/>
    <x v="0"/>
  </r>
  <r>
    <x v="240"/>
    <d v="2022-12-12T00:00:00"/>
    <x v="0"/>
    <s v="Sales Executive"/>
    <x v="0"/>
    <n v="22"/>
    <n v="8938"/>
    <n v="6"/>
    <n v="1"/>
    <x v="1"/>
    <x v="2"/>
    <s v="Sara Adel"/>
    <n v="107256"/>
    <s v="Under 30"/>
    <x v="0"/>
    <x v="0"/>
  </r>
  <r>
    <x v="241"/>
    <d v="2015-10-14T00:00:00"/>
    <x v="5"/>
    <s v="Data Analyst"/>
    <x v="0"/>
    <n v="39"/>
    <n v="4150"/>
    <n v="13"/>
    <n v="3"/>
    <x v="1"/>
    <x v="0"/>
    <s v="Ahmed Hassan"/>
    <n v="49800"/>
    <s v="30-45"/>
    <x v="1"/>
    <x v="2"/>
  </r>
  <r>
    <x v="242"/>
    <d v="2013-09-30T00:00:00"/>
    <x v="5"/>
    <s v="IT Support"/>
    <x v="1"/>
    <n v="44"/>
    <n v="19019"/>
    <n v="11"/>
    <n v="3"/>
    <x v="1"/>
    <x v="0"/>
    <s v="Sara Adel"/>
    <n v="228228"/>
    <s v="30-45"/>
    <x v="1"/>
    <x v="2"/>
  </r>
  <r>
    <x v="243"/>
    <d v="2017-05-14T00:00:00"/>
    <x v="3"/>
    <s v="Content Creator"/>
    <x v="0"/>
    <n v="44"/>
    <n v="6943"/>
    <n v="15"/>
    <n v="3"/>
    <x v="1"/>
    <x v="0"/>
    <s v="Youssef Mahmoud"/>
    <n v="83316"/>
    <s v="30-45"/>
    <x v="1"/>
    <x v="2"/>
  </r>
  <r>
    <x v="244"/>
    <d v="2022-09-24T00:00:00"/>
    <x v="0"/>
    <s v="Sales Manager"/>
    <x v="0"/>
    <n v="29"/>
    <n v="16879"/>
    <n v="0"/>
    <n v="3"/>
    <x v="1"/>
    <x v="0"/>
    <s v="Khaled Samir"/>
    <n v="202548"/>
    <s v="Under 30"/>
    <x v="2"/>
    <x v="2"/>
  </r>
  <r>
    <x v="245"/>
    <d v="2018-06-29T00:00:00"/>
    <x v="3"/>
    <s v="Content Creator"/>
    <x v="1"/>
    <n v="53"/>
    <n v="18039"/>
    <n v="9"/>
    <n v="5"/>
    <x v="0"/>
    <x v="2"/>
    <s v="Sara Adel"/>
    <n v="216468"/>
    <s v="Above 45"/>
    <x v="1"/>
    <x v="1"/>
  </r>
  <r>
    <x v="246"/>
    <d v="2021-10-09T00:00:00"/>
    <x v="5"/>
    <s v="Data Analyst"/>
    <x v="0"/>
    <n v="46"/>
    <n v="14599"/>
    <n v="7"/>
    <n v="1"/>
    <x v="0"/>
    <x v="0"/>
    <s v="Ahmed Hassan"/>
    <n v="175188"/>
    <s v="Above 45"/>
    <x v="0"/>
    <x v="0"/>
  </r>
  <r>
    <x v="247"/>
    <d v="2016-02-18T00:00:00"/>
    <x v="5"/>
    <s v="Software Engineer"/>
    <x v="0"/>
    <n v="38"/>
    <n v="6074"/>
    <n v="10"/>
    <n v="3"/>
    <x v="1"/>
    <x v="2"/>
    <s v="Youssef Mahmoud"/>
    <n v="72888"/>
    <s v="30-45"/>
    <x v="1"/>
    <x v="2"/>
  </r>
  <r>
    <x v="248"/>
    <d v="2015-05-27T00:00:00"/>
    <x v="4"/>
    <s v="HR Executive"/>
    <x v="1"/>
    <n v="43"/>
    <n v="9356"/>
    <n v="3"/>
    <n v="4"/>
    <x v="0"/>
    <x v="1"/>
    <s v="Khaled Samir"/>
    <n v="112272"/>
    <s v="30-45"/>
    <x v="0"/>
    <x v="1"/>
  </r>
  <r>
    <x v="249"/>
    <d v="2011-06-27T00:00:00"/>
    <x v="5"/>
    <s v="IT Support"/>
    <x v="0"/>
    <n v="60"/>
    <n v="8927"/>
    <n v="5"/>
    <n v="2"/>
    <x v="0"/>
    <x v="0"/>
    <s v="Youssef Mahmoud"/>
    <n v="107124"/>
    <s v="Above 45"/>
    <x v="0"/>
    <x v="0"/>
  </r>
  <r>
    <x v="250"/>
    <d v="2018-10-28T00:00:00"/>
    <x v="0"/>
    <s v="Sales Executive"/>
    <x v="1"/>
    <n v="51"/>
    <n v="7013"/>
    <n v="7"/>
    <n v="5"/>
    <x v="0"/>
    <x v="2"/>
    <s v="Mona Ali"/>
    <n v="84156"/>
    <s v="Above 45"/>
    <x v="0"/>
    <x v="1"/>
  </r>
  <r>
    <x v="251"/>
    <d v="2022-11-16T00:00:00"/>
    <x v="5"/>
    <s v="Software Engineer"/>
    <x v="1"/>
    <n v="58"/>
    <n v="17241"/>
    <n v="11"/>
    <n v="4"/>
    <x v="0"/>
    <x v="2"/>
    <s v="Youssef Mahmoud"/>
    <n v="206892"/>
    <s v="Above 45"/>
    <x v="1"/>
    <x v="1"/>
  </r>
  <r>
    <x v="252"/>
    <d v="2010-09-05T00:00:00"/>
    <x v="3"/>
    <s v="Marketing Specialist"/>
    <x v="0"/>
    <n v="52"/>
    <n v="4280"/>
    <n v="5"/>
    <n v="3"/>
    <x v="1"/>
    <x v="2"/>
    <s v="Sara Adel"/>
    <n v="51360"/>
    <s v="Above 45"/>
    <x v="0"/>
    <x v="2"/>
  </r>
  <r>
    <x v="253"/>
    <d v="2018-12-13T00:00:00"/>
    <x v="4"/>
    <s v="Recruiter"/>
    <x v="0"/>
    <n v="41"/>
    <n v="18424"/>
    <n v="0"/>
    <n v="2"/>
    <x v="1"/>
    <x v="0"/>
    <s v="Ahmed Hassan"/>
    <n v="221088"/>
    <s v="30-45"/>
    <x v="2"/>
    <x v="0"/>
  </r>
  <r>
    <x v="254"/>
    <d v="2018-10-01T00:00:00"/>
    <x v="0"/>
    <s v="Sales Executive"/>
    <x v="1"/>
    <n v="51"/>
    <n v="5339"/>
    <n v="7"/>
    <n v="2"/>
    <x v="1"/>
    <x v="0"/>
    <s v="Mona Ali"/>
    <n v="64068"/>
    <s v="Above 45"/>
    <x v="0"/>
    <x v="0"/>
  </r>
  <r>
    <x v="255"/>
    <d v="2015-10-08T00:00:00"/>
    <x v="0"/>
    <s v="Sales Manager"/>
    <x v="1"/>
    <n v="43"/>
    <n v="11145"/>
    <n v="3"/>
    <n v="2"/>
    <x v="0"/>
    <x v="2"/>
    <s v="Khaled Samir"/>
    <n v="133740"/>
    <s v="30-45"/>
    <x v="0"/>
    <x v="0"/>
  </r>
  <r>
    <x v="256"/>
    <d v="2020-02-09T00:00:00"/>
    <x v="0"/>
    <s v="Sales Executive"/>
    <x v="1"/>
    <n v="31"/>
    <n v="11061"/>
    <n v="8"/>
    <n v="3"/>
    <x v="0"/>
    <x v="1"/>
    <s v="Mona Ali"/>
    <n v="132732"/>
    <s v="30-45"/>
    <x v="1"/>
    <x v="2"/>
  </r>
  <r>
    <x v="257"/>
    <d v="2013-07-16T00:00:00"/>
    <x v="2"/>
    <s v="Operations Officer"/>
    <x v="0"/>
    <n v="40"/>
    <n v="6978"/>
    <n v="6"/>
    <n v="1"/>
    <x v="1"/>
    <x v="1"/>
    <s v="Ahmed Hassan"/>
    <n v="83736"/>
    <s v="30-45"/>
    <x v="0"/>
    <x v="0"/>
  </r>
  <r>
    <x v="258"/>
    <d v="2020-08-06T00:00:00"/>
    <x v="3"/>
    <s v="Content Creator"/>
    <x v="1"/>
    <n v="43"/>
    <n v="12508"/>
    <n v="2"/>
    <n v="4"/>
    <x v="1"/>
    <x v="2"/>
    <s v="Ahmed Hassan"/>
    <n v="150096"/>
    <s v="30-45"/>
    <x v="2"/>
    <x v="1"/>
  </r>
  <r>
    <x v="259"/>
    <d v="2019-09-18T00:00:00"/>
    <x v="3"/>
    <s v="Content Creator"/>
    <x v="0"/>
    <n v="55"/>
    <n v="8049"/>
    <n v="2"/>
    <n v="4"/>
    <x v="0"/>
    <x v="1"/>
    <s v="Khaled Samir"/>
    <n v="96588"/>
    <s v="Above 45"/>
    <x v="2"/>
    <x v="1"/>
  </r>
  <r>
    <x v="260"/>
    <d v="2016-12-08T00:00:00"/>
    <x v="5"/>
    <s v="Data Analyst"/>
    <x v="1"/>
    <n v="35"/>
    <n v="8266"/>
    <n v="13"/>
    <n v="2"/>
    <x v="1"/>
    <x v="2"/>
    <s v="Ahmed Hassan"/>
    <n v="99192"/>
    <s v="30-45"/>
    <x v="1"/>
    <x v="0"/>
  </r>
  <r>
    <x v="261"/>
    <d v="2021-04-29T00:00:00"/>
    <x v="0"/>
    <s v="Sales Manager"/>
    <x v="1"/>
    <n v="32"/>
    <n v="11633"/>
    <n v="7"/>
    <n v="1"/>
    <x v="0"/>
    <x v="2"/>
    <s v="Khaled Samir"/>
    <n v="139596"/>
    <s v="30-45"/>
    <x v="0"/>
    <x v="0"/>
  </r>
  <r>
    <x v="262"/>
    <d v="2021-05-05T00:00:00"/>
    <x v="2"/>
    <s v="Operations Officer"/>
    <x v="0"/>
    <n v="60"/>
    <n v="9623"/>
    <n v="0"/>
    <n v="4"/>
    <x v="0"/>
    <x v="1"/>
    <s v="Youssef Mahmoud"/>
    <n v="115476"/>
    <s v="Above 45"/>
    <x v="2"/>
    <x v="1"/>
  </r>
  <r>
    <x v="263"/>
    <d v="2019-08-28T00:00:00"/>
    <x v="0"/>
    <s v="Sales Executive"/>
    <x v="1"/>
    <n v="33"/>
    <n v="12343"/>
    <n v="10"/>
    <n v="1"/>
    <x v="1"/>
    <x v="2"/>
    <s v="Ahmed Hassan"/>
    <n v="148116"/>
    <s v="30-45"/>
    <x v="1"/>
    <x v="0"/>
  </r>
  <r>
    <x v="264"/>
    <d v="2015-05-07T00:00:00"/>
    <x v="0"/>
    <s v="Sales Manager"/>
    <x v="0"/>
    <n v="22"/>
    <n v="8190"/>
    <n v="14"/>
    <n v="2"/>
    <x v="0"/>
    <x v="2"/>
    <s v="Ahmed Hassan"/>
    <n v="98280"/>
    <s v="Under 30"/>
    <x v="1"/>
    <x v="0"/>
  </r>
  <r>
    <x v="265"/>
    <d v="2022-02-20T00:00:00"/>
    <x v="3"/>
    <s v="Content Creator"/>
    <x v="0"/>
    <n v="26"/>
    <n v="12008"/>
    <n v="0"/>
    <n v="1"/>
    <x v="1"/>
    <x v="1"/>
    <s v="Sara Adel"/>
    <n v="144096"/>
    <s v="Under 30"/>
    <x v="2"/>
    <x v="0"/>
  </r>
  <r>
    <x v="266"/>
    <d v="2010-11-26T00:00:00"/>
    <x v="4"/>
    <s v="Recruiter"/>
    <x v="1"/>
    <n v="56"/>
    <n v="8323"/>
    <n v="9"/>
    <n v="2"/>
    <x v="0"/>
    <x v="1"/>
    <s v="Sara Adel"/>
    <n v="99876"/>
    <s v="Above 45"/>
    <x v="1"/>
    <x v="0"/>
  </r>
  <r>
    <x v="267"/>
    <d v="2022-01-05T00:00:00"/>
    <x v="1"/>
    <s v="Financial Analyst"/>
    <x v="0"/>
    <n v="50"/>
    <n v="14506"/>
    <n v="15"/>
    <n v="1"/>
    <x v="1"/>
    <x v="0"/>
    <s v="Sara Adel"/>
    <n v="174072"/>
    <s v="Above 45"/>
    <x v="1"/>
    <x v="0"/>
  </r>
  <r>
    <x v="268"/>
    <d v="2012-02-02T00:00:00"/>
    <x v="1"/>
    <s v="Accountant"/>
    <x v="0"/>
    <n v="46"/>
    <n v="7397"/>
    <n v="13"/>
    <n v="4"/>
    <x v="1"/>
    <x v="2"/>
    <s v="Mona Ali"/>
    <n v="88764"/>
    <s v="Above 45"/>
    <x v="1"/>
    <x v="1"/>
  </r>
  <r>
    <x v="269"/>
    <d v="2015-03-05T00:00:00"/>
    <x v="3"/>
    <s v="Marketing Specialist"/>
    <x v="0"/>
    <n v="29"/>
    <n v="16381"/>
    <n v="7"/>
    <n v="3"/>
    <x v="0"/>
    <x v="2"/>
    <s v="Ahmed Hassan"/>
    <n v="196572"/>
    <s v="Under 30"/>
    <x v="0"/>
    <x v="2"/>
  </r>
  <r>
    <x v="270"/>
    <d v="2013-11-06T00:00:00"/>
    <x v="0"/>
    <s v="Sales Executive"/>
    <x v="1"/>
    <n v="32"/>
    <n v="6577"/>
    <n v="12"/>
    <n v="1"/>
    <x v="0"/>
    <x v="2"/>
    <s v="Mona Ali"/>
    <n v="78924"/>
    <s v="30-45"/>
    <x v="1"/>
    <x v="0"/>
  </r>
  <r>
    <x v="271"/>
    <d v="2013-03-30T00:00:00"/>
    <x v="1"/>
    <s v="Financial Analyst"/>
    <x v="0"/>
    <n v="51"/>
    <n v="17711"/>
    <n v="8"/>
    <n v="1"/>
    <x v="1"/>
    <x v="2"/>
    <s v="Mona Ali"/>
    <n v="212532"/>
    <s v="Above 45"/>
    <x v="1"/>
    <x v="0"/>
  </r>
  <r>
    <x v="272"/>
    <d v="2014-12-04T00:00:00"/>
    <x v="4"/>
    <s v="HR Executive"/>
    <x v="1"/>
    <n v="38"/>
    <n v="11299"/>
    <n v="5"/>
    <n v="4"/>
    <x v="1"/>
    <x v="2"/>
    <s v="Ahmed Hassan"/>
    <n v="135588"/>
    <s v="30-45"/>
    <x v="0"/>
    <x v="1"/>
  </r>
  <r>
    <x v="273"/>
    <d v="2011-02-27T00:00:00"/>
    <x v="0"/>
    <s v="Sales Executive"/>
    <x v="1"/>
    <n v="32"/>
    <n v="4140"/>
    <n v="5"/>
    <n v="5"/>
    <x v="1"/>
    <x v="0"/>
    <s v="Ahmed Hassan"/>
    <n v="49680"/>
    <s v="30-45"/>
    <x v="0"/>
    <x v="1"/>
  </r>
  <r>
    <x v="274"/>
    <d v="2020-08-02T00:00:00"/>
    <x v="1"/>
    <s v="Financial Analyst"/>
    <x v="1"/>
    <n v="55"/>
    <n v="19218"/>
    <n v="11"/>
    <n v="5"/>
    <x v="1"/>
    <x v="2"/>
    <s v="Khaled Samir"/>
    <n v="230616"/>
    <s v="Above 45"/>
    <x v="1"/>
    <x v="1"/>
  </r>
  <r>
    <x v="275"/>
    <d v="2010-02-27T00:00:00"/>
    <x v="4"/>
    <s v="Recruiter"/>
    <x v="0"/>
    <n v="56"/>
    <n v="15061"/>
    <n v="1"/>
    <n v="3"/>
    <x v="0"/>
    <x v="0"/>
    <s v="Sara Adel"/>
    <n v="180732"/>
    <s v="Above 45"/>
    <x v="2"/>
    <x v="2"/>
  </r>
  <r>
    <x v="276"/>
    <d v="2012-09-11T00:00:00"/>
    <x v="4"/>
    <s v="HR Executive"/>
    <x v="0"/>
    <n v="37"/>
    <n v="10994"/>
    <n v="15"/>
    <n v="4"/>
    <x v="1"/>
    <x v="0"/>
    <s v="Sara Adel"/>
    <n v="131928"/>
    <s v="30-45"/>
    <x v="1"/>
    <x v="1"/>
  </r>
  <r>
    <x v="277"/>
    <d v="2013-03-10T00:00:00"/>
    <x v="3"/>
    <s v="Content Creator"/>
    <x v="0"/>
    <n v="27"/>
    <n v="6223"/>
    <n v="1"/>
    <n v="1"/>
    <x v="1"/>
    <x v="0"/>
    <s v="Sara Adel"/>
    <n v="74676"/>
    <s v="Under 30"/>
    <x v="2"/>
    <x v="0"/>
  </r>
  <r>
    <x v="278"/>
    <d v="2023-06-24T00:00:00"/>
    <x v="2"/>
    <s v="Operations Officer"/>
    <x v="0"/>
    <n v="46"/>
    <n v="18462"/>
    <n v="12"/>
    <n v="3"/>
    <x v="0"/>
    <x v="1"/>
    <s v="Ahmed Hassan"/>
    <n v="221544"/>
    <s v="Above 45"/>
    <x v="1"/>
    <x v="2"/>
  </r>
  <r>
    <x v="279"/>
    <d v="2013-10-10T00:00:00"/>
    <x v="5"/>
    <s v="Data Analyst"/>
    <x v="1"/>
    <n v="45"/>
    <n v="7544"/>
    <n v="2"/>
    <n v="4"/>
    <x v="1"/>
    <x v="0"/>
    <s v="Ahmed Hassan"/>
    <n v="90528"/>
    <s v="30-45"/>
    <x v="2"/>
    <x v="1"/>
  </r>
  <r>
    <x v="280"/>
    <d v="2011-03-22T00:00:00"/>
    <x v="5"/>
    <s v="Data Analyst"/>
    <x v="1"/>
    <n v="35"/>
    <n v="16492"/>
    <n v="13"/>
    <n v="2"/>
    <x v="1"/>
    <x v="2"/>
    <s v="Khaled Samir"/>
    <n v="197904"/>
    <s v="30-45"/>
    <x v="1"/>
    <x v="0"/>
  </r>
  <r>
    <x v="281"/>
    <d v="2021-01-05T00:00:00"/>
    <x v="2"/>
    <s v="Supply Chain Analyst"/>
    <x v="0"/>
    <n v="45"/>
    <n v="19673"/>
    <n v="1"/>
    <n v="2"/>
    <x v="1"/>
    <x v="2"/>
    <s v="Khaled Samir"/>
    <n v="236076"/>
    <s v="30-45"/>
    <x v="2"/>
    <x v="0"/>
  </r>
  <r>
    <x v="282"/>
    <d v="2020-05-23T00:00:00"/>
    <x v="5"/>
    <s v="Software Engineer"/>
    <x v="0"/>
    <n v="41"/>
    <n v="7135"/>
    <n v="14"/>
    <n v="2"/>
    <x v="1"/>
    <x v="2"/>
    <s v="Youssef Mahmoud"/>
    <n v="85620"/>
    <s v="30-45"/>
    <x v="1"/>
    <x v="0"/>
  </r>
  <r>
    <x v="283"/>
    <d v="2017-04-03T00:00:00"/>
    <x v="2"/>
    <s v="Supply Chain Analyst"/>
    <x v="0"/>
    <n v="50"/>
    <n v="15483"/>
    <n v="15"/>
    <n v="2"/>
    <x v="1"/>
    <x v="2"/>
    <s v="Youssef Mahmoud"/>
    <n v="185796"/>
    <s v="Above 45"/>
    <x v="1"/>
    <x v="0"/>
  </r>
  <r>
    <x v="284"/>
    <d v="2019-07-10T00:00:00"/>
    <x v="4"/>
    <s v="Recruiter"/>
    <x v="0"/>
    <n v="36"/>
    <n v="5637"/>
    <n v="2"/>
    <n v="5"/>
    <x v="0"/>
    <x v="0"/>
    <s v="Ahmed Hassan"/>
    <n v="67644"/>
    <s v="30-45"/>
    <x v="2"/>
    <x v="1"/>
  </r>
  <r>
    <x v="285"/>
    <d v="2016-03-11T00:00:00"/>
    <x v="4"/>
    <s v="HR Executive"/>
    <x v="0"/>
    <n v="23"/>
    <n v="14807"/>
    <n v="3"/>
    <n v="5"/>
    <x v="1"/>
    <x v="1"/>
    <s v="Khaled Samir"/>
    <n v="177684"/>
    <s v="Under 30"/>
    <x v="0"/>
    <x v="1"/>
  </r>
  <r>
    <x v="286"/>
    <d v="2022-05-06T00:00:00"/>
    <x v="3"/>
    <s v="Marketing Specialist"/>
    <x v="1"/>
    <n v="30"/>
    <n v="16045"/>
    <n v="5"/>
    <n v="5"/>
    <x v="1"/>
    <x v="2"/>
    <s v="Khaled Samir"/>
    <n v="192540"/>
    <s v="30-45"/>
    <x v="0"/>
    <x v="1"/>
  </r>
  <r>
    <x v="287"/>
    <d v="2015-09-10T00:00:00"/>
    <x v="0"/>
    <s v="Sales Executive"/>
    <x v="0"/>
    <n v="47"/>
    <n v="19304"/>
    <n v="6"/>
    <n v="4"/>
    <x v="1"/>
    <x v="2"/>
    <s v="Sara Adel"/>
    <n v="231648"/>
    <s v="Above 45"/>
    <x v="0"/>
    <x v="1"/>
  </r>
  <r>
    <x v="288"/>
    <d v="2020-08-09T00:00:00"/>
    <x v="3"/>
    <s v="Marketing Specialist"/>
    <x v="0"/>
    <n v="56"/>
    <n v="8084"/>
    <n v="4"/>
    <n v="2"/>
    <x v="0"/>
    <x v="1"/>
    <s v="Ahmed Hassan"/>
    <n v="97008"/>
    <s v="Above 45"/>
    <x v="0"/>
    <x v="0"/>
  </r>
  <r>
    <x v="289"/>
    <d v="2019-06-28T00:00:00"/>
    <x v="5"/>
    <s v="Data Analyst"/>
    <x v="0"/>
    <n v="34"/>
    <n v="6195"/>
    <n v="2"/>
    <n v="4"/>
    <x v="0"/>
    <x v="0"/>
    <s v="Mona Ali"/>
    <n v="74340"/>
    <s v="30-45"/>
    <x v="2"/>
    <x v="1"/>
  </r>
  <r>
    <x v="290"/>
    <d v="2012-01-06T00:00:00"/>
    <x v="5"/>
    <s v="Data Analyst"/>
    <x v="0"/>
    <n v="45"/>
    <n v="5798"/>
    <n v="6"/>
    <n v="1"/>
    <x v="1"/>
    <x v="2"/>
    <s v="Khaled Samir"/>
    <n v="69576"/>
    <s v="30-45"/>
    <x v="0"/>
    <x v="0"/>
  </r>
  <r>
    <x v="291"/>
    <d v="2014-12-11T00:00:00"/>
    <x v="3"/>
    <s v="Marketing Specialist"/>
    <x v="1"/>
    <n v="41"/>
    <n v="13111"/>
    <n v="5"/>
    <n v="1"/>
    <x v="0"/>
    <x v="2"/>
    <s v="Khaled Samir"/>
    <n v="157332"/>
    <s v="30-45"/>
    <x v="0"/>
    <x v="0"/>
  </r>
  <r>
    <x v="292"/>
    <d v="2017-10-20T00:00:00"/>
    <x v="3"/>
    <s v="Marketing Specialist"/>
    <x v="1"/>
    <n v="59"/>
    <n v="17012"/>
    <n v="1"/>
    <n v="5"/>
    <x v="0"/>
    <x v="0"/>
    <s v="Ahmed Hassan"/>
    <n v="204144"/>
    <s v="Above 45"/>
    <x v="2"/>
    <x v="1"/>
  </r>
  <r>
    <x v="293"/>
    <d v="2021-06-11T00:00:00"/>
    <x v="4"/>
    <s v="Recruiter"/>
    <x v="0"/>
    <n v="31"/>
    <n v="8868"/>
    <n v="8"/>
    <n v="3"/>
    <x v="1"/>
    <x v="2"/>
    <s v="Mona Ali"/>
    <n v="106416"/>
    <s v="30-45"/>
    <x v="1"/>
    <x v="2"/>
  </r>
  <r>
    <x v="294"/>
    <d v="2014-05-14T00:00:00"/>
    <x v="5"/>
    <s v="IT Support"/>
    <x v="1"/>
    <n v="59"/>
    <n v="5060"/>
    <n v="5"/>
    <n v="2"/>
    <x v="0"/>
    <x v="0"/>
    <s v="Sara Adel"/>
    <n v="60720"/>
    <s v="Above 45"/>
    <x v="0"/>
    <x v="0"/>
  </r>
  <r>
    <x v="295"/>
    <d v="2012-10-29T00:00:00"/>
    <x v="5"/>
    <s v="Data Analyst"/>
    <x v="1"/>
    <n v="53"/>
    <n v="18713"/>
    <n v="4"/>
    <n v="4"/>
    <x v="0"/>
    <x v="1"/>
    <s v="Sara Adel"/>
    <n v="224556"/>
    <s v="Above 45"/>
    <x v="0"/>
    <x v="1"/>
  </r>
  <r>
    <x v="296"/>
    <d v="2021-04-05T00:00:00"/>
    <x v="5"/>
    <s v="IT Support"/>
    <x v="1"/>
    <n v="33"/>
    <n v="18551"/>
    <n v="10"/>
    <n v="4"/>
    <x v="0"/>
    <x v="0"/>
    <s v="Khaled Samir"/>
    <n v="222612"/>
    <s v="30-45"/>
    <x v="1"/>
    <x v="1"/>
  </r>
  <r>
    <x v="297"/>
    <d v="2018-07-30T00:00:00"/>
    <x v="5"/>
    <s v="Data Analyst"/>
    <x v="1"/>
    <n v="60"/>
    <n v="12963"/>
    <n v="10"/>
    <n v="5"/>
    <x v="0"/>
    <x v="1"/>
    <s v="Sara Adel"/>
    <n v="155556"/>
    <s v="Above 45"/>
    <x v="1"/>
    <x v="1"/>
  </r>
  <r>
    <x v="298"/>
    <d v="2023-02-24T00:00:00"/>
    <x v="3"/>
    <s v="Content Creator"/>
    <x v="1"/>
    <n v="33"/>
    <n v="7785"/>
    <n v="5"/>
    <n v="1"/>
    <x v="0"/>
    <x v="2"/>
    <s v="Sara Adel"/>
    <n v="93420"/>
    <s v="30-45"/>
    <x v="0"/>
    <x v="0"/>
  </r>
  <r>
    <x v="299"/>
    <d v="2021-12-11T00:00:00"/>
    <x v="4"/>
    <s v="Recruiter"/>
    <x v="1"/>
    <n v="42"/>
    <n v="15916"/>
    <n v="3"/>
    <n v="2"/>
    <x v="0"/>
    <x v="0"/>
    <s v="Sara Adel"/>
    <n v="190992"/>
    <s v="30-45"/>
    <x v="0"/>
    <x v="0"/>
  </r>
  <r>
    <x v="300"/>
    <d v="2010-11-14T00:00:00"/>
    <x v="4"/>
    <s v="HR Executive"/>
    <x v="1"/>
    <n v="60"/>
    <n v="10156"/>
    <n v="3"/>
    <n v="2"/>
    <x v="0"/>
    <x v="0"/>
    <s v="Ahmed Hassan"/>
    <n v="121872"/>
    <s v="Above 45"/>
    <x v="0"/>
    <x v="0"/>
  </r>
  <r>
    <x v="301"/>
    <d v="2014-10-19T00:00:00"/>
    <x v="0"/>
    <s v="Sales Manager"/>
    <x v="1"/>
    <n v="43"/>
    <n v="19442"/>
    <n v="12"/>
    <n v="5"/>
    <x v="1"/>
    <x v="1"/>
    <s v="Mona Ali"/>
    <n v="233304"/>
    <s v="30-45"/>
    <x v="1"/>
    <x v="1"/>
  </r>
  <r>
    <x v="302"/>
    <d v="2019-06-07T00:00:00"/>
    <x v="1"/>
    <s v="Financial Analyst"/>
    <x v="0"/>
    <n v="35"/>
    <n v="15846"/>
    <n v="6"/>
    <n v="4"/>
    <x v="0"/>
    <x v="0"/>
    <s v="Khaled Samir"/>
    <n v="190152"/>
    <s v="30-45"/>
    <x v="0"/>
    <x v="1"/>
  </r>
  <r>
    <x v="303"/>
    <d v="2019-03-15T00:00:00"/>
    <x v="2"/>
    <s v="Supply Chain Analyst"/>
    <x v="1"/>
    <n v="31"/>
    <n v="9182"/>
    <n v="2"/>
    <n v="4"/>
    <x v="1"/>
    <x v="1"/>
    <s v="Ahmed Hassan"/>
    <n v="110184"/>
    <s v="30-45"/>
    <x v="2"/>
    <x v="1"/>
  </r>
  <r>
    <x v="304"/>
    <d v="2020-07-24T00:00:00"/>
    <x v="5"/>
    <s v="Software Engineer"/>
    <x v="0"/>
    <n v="59"/>
    <n v="9913"/>
    <n v="14"/>
    <n v="4"/>
    <x v="1"/>
    <x v="1"/>
    <s v="Sara Adel"/>
    <n v="118956"/>
    <s v="Above 45"/>
    <x v="1"/>
    <x v="1"/>
  </r>
  <r>
    <x v="305"/>
    <d v="2020-10-06T00:00:00"/>
    <x v="2"/>
    <s v="Supply Chain Analyst"/>
    <x v="1"/>
    <n v="23"/>
    <n v="9673"/>
    <n v="7"/>
    <n v="5"/>
    <x v="0"/>
    <x v="2"/>
    <s v="Sara Adel"/>
    <n v="116076"/>
    <s v="Under 30"/>
    <x v="0"/>
    <x v="1"/>
  </r>
  <r>
    <x v="306"/>
    <d v="2022-06-11T00:00:00"/>
    <x v="2"/>
    <s v="Supply Chain Analyst"/>
    <x v="1"/>
    <n v="43"/>
    <n v="17071"/>
    <n v="3"/>
    <n v="4"/>
    <x v="0"/>
    <x v="1"/>
    <s v="Sara Adel"/>
    <n v="204852"/>
    <s v="30-45"/>
    <x v="0"/>
    <x v="1"/>
  </r>
  <r>
    <x v="307"/>
    <d v="2018-06-05T00:00:00"/>
    <x v="1"/>
    <s v="Financial Analyst"/>
    <x v="1"/>
    <n v="22"/>
    <n v="5269"/>
    <n v="2"/>
    <n v="4"/>
    <x v="0"/>
    <x v="2"/>
    <s v="Mona Ali"/>
    <n v="63228"/>
    <s v="Under 30"/>
    <x v="2"/>
    <x v="1"/>
  </r>
  <r>
    <x v="308"/>
    <d v="2023-05-08T00:00:00"/>
    <x v="1"/>
    <s v="Financial Analyst"/>
    <x v="1"/>
    <n v="59"/>
    <n v="11547"/>
    <n v="8"/>
    <n v="3"/>
    <x v="0"/>
    <x v="2"/>
    <s v="Mona Ali"/>
    <n v="138564"/>
    <s v="Above 45"/>
    <x v="1"/>
    <x v="2"/>
  </r>
  <r>
    <x v="309"/>
    <d v="2010-06-15T00:00:00"/>
    <x v="0"/>
    <s v="Sales Manager"/>
    <x v="0"/>
    <n v="55"/>
    <n v="13644"/>
    <n v="3"/>
    <n v="3"/>
    <x v="0"/>
    <x v="1"/>
    <s v="Sara Adel"/>
    <n v="163728"/>
    <s v="Above 45"/>
    <x v="0"/>
    <x v="2"/>
  </r>
  <r>
    <x v="310"/>
    <d v="2016-01-05T00:00:00"/>
    <x v="2"/>
    <s v="Operations Officer"/>
    <x v="1"/>
    <n v="60"/>
    <n v="13291"/>
    <n v="6"/>
    <n v="1"/>
    <x v="1"/>
    <x v="0"/>
    <s v="Mona Ali"/>
    <n v="159492"/>
    <s v="Above 45"/>
    <x v="0"/>
    <x v="0"/>
  </r>
  <r>
    <x v="311"/>
    <d v="2017-10-18T00:00:00"/>
    <x v="4"/>
    <s v="Recruiter"/>
    <x v="0"/>
    <n v="40"/>
    <n v="9675"/>
    <n v="4"/>
    <n v="5"/>
    <x v="0"/>
    <x v="1"/>
    <s v="Sara Adel"/>
    <n v="116100"/>
    <s v="30-45"/>
    <x v="0"/>
    <x v="1"/>
  </r>
  <r>
    <x v="312"/>
    <d v="2010-01-17T00:00:00"/>
    <x v="3"/>
    <s v="Marketing Specialist"/>
    <x v="0"/>
    <n v="51"/>
    <n v="10857"/>
    <n v="13"/>
    <n v="4"/>
    <x v="0"/>
    <x v="0"/>
    <s v="Mona Ali"/>
    <n v="130284"/>
    <s v="Above 45"/>
    <x v="1"/>
    <x v="1"/>
  </r>
  <r>
    <x v="313"/>
    <d v="2014-09-24T00:00:00"/>
    <x v="0"/>
    <s v="Sales Executive"/>
    <x v="1"/>
    <n v="24"/>
    <n v="16070"/>
    <n v="13"/>
    <n v="4"/>
    <x v="1"/>
    <x v="2"/>
    <s v="Khaled Samir"/>
    <n v="192840"/>
    <s v="Under 30"/>
    <x v="1"/>
    <x v="1"/>
  </r>
  <r>
    <x v="314"/>
    <d v="2023-05-04T00:00:00"/>
    <x v="1"/>
    <s v="Financial Analyst"/>
    <x v="0"/>
    <n v="49"/>
    <n v="17447"/>
    <n v="12"/>
    <n v="4"/>
    <x v="1"/>
    <x v="0"/>
    <s v="Mona Ali"/>
    <n v="209364"/>
    <s v="Above 45"/>
    <x v="1"/>
    <x v="1"/>
  </r>
  <r>
    <x v="315"/>
    <d v="2015-01-17T00:00:00"/>
    <x v="1"/>
    <s v="Accountant"/>
    <x v="0"/>
    <n v="44"/>
    <n v="11799"/>
    <n v="2"/>
    <n v="1"/>
    <x v="0"/>
    <x v="0"/>
    <s v="Sara Adel"/>
    <n v="141588"/>
    <s v="30-45"/>
    <x v="2"/>
    <x v="0"/>
  </r>
  <r>
    <x v="316"/>
    <d v="2020-03-19T00:00:00"/>
    <x v="0"/>
    <s v="Sales Manager"/>
    <x v="0"/>
    <n v="27"/>
    <n v="12551"/>
    <n v="7"/>
    <n v="3"/>
    <x v="1"/>
    <x v="2"/>
    <s v="Ahmed Hassan"/>
    <n v="150612"/>
    <s v="Under 30"/>
    <x v="0"/>
    <x v="2"/>
  </r>
  <r>
    <x v="317"/>
    <d v="2023-01-13T00:00:00"/>
    <x v="3"/>
    <s v="Content Creator"/>
    <x v="0"/>
    <n v="57"/>
    <n v="14798"/>
    <n v="1"/>
    <n v="4"/>
    <x v="1"/>
    <x v="2"/>
    <s v="Mona Ali"/>
    <n v="177576"/>
    <s v="Above 45"/>
    <x v="2"/>
    <x v="1"/>
  </r>
  <r>
    <x v="318"/>
    <d v="2014-03-11T00:00:00"/>
    <x v="0"/>
    <s v="Sales Executive"/>
    <x v="1"/>
    <n v="58"/>
    <n v="14877"/>
    <n v="8"/>
    <n v="2"/>
    <x v="1"/>
    <x v="0"/>
    <s v="Sara Adel"/>
    <n v="178524"/>
    <s v="Above 45"/>
    <x v="1"/>
    <x v="0"/>
  </r>
  <r>
    <x v="319"/>
    <d v="2010-10-24T00:00:00"/>
    <x v="5"/>
    <s v="IT Support"/>
    <x v="1"/>
    <n v="42"/>
    <n v="17544"/>
    <n v="12"/>
    <n v="1"/>
    <x v="1"/>
    <x v="1"/>
    <s v="Ahmed Hassan"/>
    <n v="210528"/>
    <s v="30-45"/>
    <x v="1"/>
    <x v="0"/>
  </r>
  <r>
    <x v="320"/>
    <d v="2021-01-08T00:00:00"/>
    <x v="4"/>
    <s v="HR Executive"/>
    <x v="1"/>
    <n v="39"/>
    <n v="8963"/>
    <n v="3"/>
    <n v="2"/>
    <x v="0"/>
    <x v="2"/>
    <s v="Sara Adel"/>
    <n v="107556"/>
    <s v="30-45"/>
    <x v="0"/>
    <x v="0"/>
  </r>
  <r>
    <x v="321"/>
    <d v="2023-02-08T00:00:00"/>
    <x v="1"/>
    <s v="Financial Analyst"/>
    <x v="1"/>
    <n v="59"/>
    <n v="10748"/>
    <n v="1"/>
    <n v="4"/>
    <x v="1"/>
    <x v="2"/>
    <s v="Sara Adel"/>
    <n v="128976"/>
    <s v="Above 45"/>
    <x v="2"/>
    <x v="1"/>
  </r>
  <r>
    <x v="322"/>
    <d v="2019-02-05T00:00:00"/>
    <x v="5"/>
    <s v="IT Support"/>
    <x v="1"/>
    <n v="51"/>
    <n v="17522"/>
    <n v="12"/>
    <n v="2"/>
    <x v="0"/>
    <x v="1"/>
    <s v="Sara Adel"/>
    <n v="210264"/>
    <s v="Above 45"/>
    <x v="1"/>
    <x v="0"/>
  </r>
  <r>
    <x v="323"/>
    <d v="2015-05-12T00:00:00"/>
    <x v="3"/>
    <s v="Marketing Specialist"/>
    <x v="1"/>
    <n v="46"/>
    <n v="15458"/>
    <n v="5"/>
    <n v="2"/>
    <x v="1"/>
    <x v="1"/>
    <s v="Mona Ali"/>
    <n v="185496"/>
    <s v="Above 45"/>
    <x v="0"/>
    <x v="0"/>
  </r>
  <r>
    <x v="324"/>
    <d v="2018-05-09T00:00:00"/>
    <x v="0"/>
    <s v="Sales Manager"/>
    <x v="1"/>
    <n v="28"/>
    <n v="17050"/>
    <n v="7"/>
    <n v="3"/>
    <x v="1"/>
    <x v="0"/>
    <s v="Mona Ali"/>
    <n v="204600"/>
    <s v="Under 30"/>
    <x v="0"/>
    <x v="2"/>
  </r>
  <r>
    <x v="325"/>
    <d v="2014-01-09T00:00:00"/>
    <x v="3"/>
    <s v="Content Creator"/>
    <x v="1"/>
    <n v="49"/>
    <n v="7047"/>
    <n v="6"/>
    <n v="5"/>
    <x v="0"/>
    <x v="1"/>
    <s v="Khaled Samir"/>
    <n v="84564"/>
    <s v="Above 45"/>
    <x v="0"/>
    <x v="1"/>
  </r>
  <r>
    <x v="326"/>
    <d v="2016-01-14T00:00:00"/>
    <x v="0"/>
    <s v="Sales Manager"/>
    <x v="1"/>
    <n v="58"/>
    <n v="5989"/>
    <n v="1"/>
    <n v="4"/>
    <x v="0"/>
    <x v="0"/>
    <s v="Sara Adel"/>
    <n v="71868"/>
    <s v="Above 45"/>
    <x v="2"/>
    <x v="1"/>
  </r>
  <r>
    <x v="327"/>
    <d v="2014-02-16T00:00:00"/>
    <x v="4"/>
    <s v="HR Executive"/>
    <x v="0"/>
    <n v="59"/>
    <n v="12539"/>
    <n v="8"/>
    <n v="4"/>
    <x v="0"/>
    <x v="2"/>
    <s v="Khaled Samir"/>
    <n v="150468"/>
    <s v="Above 45"/>
    <x v="1"/>
    <x v="1"/>
  </r>
  <r>
    <x v="328"/>
    <d v="2023-02-18T00:00:00"/>
    <x v="1"/>
    <s v="Financial Analyst"/>
    <x v="0"/>
    <n v="23"/>
    <n v="7319"/>
    <n v="13"/>
    <n v="4"/>
    <x v="0"/>
    <x v="0"/>
    <s v="Sara Adel"/>
    <n v="87828"/>
    <s v="Under 30"/>
    <x v="1"/>
    <x v="1"/>
  </r>
  <r>
    <x v="329"/>
    <d v="2021-01-09T00:00:00"/>
    <x v="1"/>
    <s v="Financial Analyst"/>
    <x v="0"/>
    <n v="27"/>
    <n v="17999"/>
    <n v="13"/>
    <n v="1"/>
    <x v="0"/>
    <x v="1"/>
    <s v="Sara Adel"/>
    <n v="215988"/>
    <s v="Under 30"/>
    <x v="1"/>
    <x v="0"/>
  </r>
  <r>
    <x v="330"/>
    <d v="2014-11-09T00:00:00"/>
    <x v="3"/>
    <s v="Content Creator"/>
    <x v="1"/>
    <n v="40"/>
    <n v="7374"/>
    <n v="5"/>
    <n v="4"/>
    <x v="0"/>
    <x v="0"/>
    <s v="Mona Ali"/>
    <n v="88488"/>
    <s v="30-45"/>
    <x v="0"/>
    <x v="1"/>
  </r>
  <r>
    <x v="331"/>
    <d v="2013-05-04T00:00:00"/>
    <x v="2"/>
    <s v="Operations Officer"/>
    <x v="1"/>
    <n v="52"/>
    <n v="12475"/>
    <n v="7"/>
    <n v="2"/>
    <x v="1"/>
    <x v="1"/>
    <s v="Sara Adel"/>
    <n v="149700"/>
    <s v="Above 45"/>
    <x v="0"/>
    <x v="0"/>
  </r>
  <r>
    <x v="332"/>
    <d v="2011-12-29T00:00:00"/>
    <x v="5"/>
    <s v="Software Engineer"/>
    <x v="0"/>
    <n v="33"/>
    <n v="15917"/>
    <n v="15"/>
    <n v="5"/>
    <x v="1"/>
    <x v="2"/>
    <s v="Khaled Samir"/>
    <n v="191004"/>
    <s v="30-45"/>
    <x v="1"/>
    <x v="1"/>
  </r>
  <r>
    <x v="333"/>
    <d v="2017-12-07T00:00:00"/>
    <x v="2"/>
    <s v="Supply Chain Analyst"/>
    <x v="1"/>
    <n v="36"/>
    <n v="7773"/>
    <n v="11"/>
    <n v="1"/>
    <x v="1"/>
    <x v="0"/>
    <s v="Ahmed Hassan"/>
    <n v="93276"/>
    <s v="30-45"/>
    <x v="1"/>
    <x v="0"/>
  </r>
  <r>
    <x v="334"/>
    <d v="2021-10-25T00:00:00"/>
    <x v="0"/>
    <s v="Sales Manager"/>
    <x v="0"/>
    <n v="55"/>
    <n v="8671"/>
    <n v="0"/>
    <n v="1"/>
    <x v="0"/>
    <x v="1"/>
    <s v="Mona Ali"/>
    <n v="104052"/>
    <s v="Above 45"/>
    <x v="2"/>
    <x v="0"/>
  </r>
  <r>
    <x v="335"/>
    <d v="2017-06-23T00:00:00"/>
    <x v="1"/>
    <s v="Accountant"/>
    <x v="1"/>
    <n v="22"/>
    <n v="18859"/>
    <n v="9"/>
    <n v="3"/>
    <x v="0"/>
    <x v="0"/>
    <s v="Ahmed Hassan"/>
    <n v="226308"/>
    <s v="Under 30"/>
    <x v="1"/>
    <x v="2"/>
  </r>
  <r>
    <x v="336"/>
    <d v="2010-03-24T00:00:00"/>
    <x v="0"/>
    <s v="Sales Executive"/>
    <x v="0"/>
    <n v="27"/>
    <n v="7787"/>
    <n v="8"/>
    <n v="2"/>
    <x v="1"/>
    <x v="0"/>
    <s v="Khaled Samir"/>
    <n v="93444"/>
    <s v="Under 30"/>
    <x v="1"/>
    <x v="0"/>
  </r>
  <r>
    <x v="337"/>
    <d v="2019-06-04T00:00:00"/>
    <x v="4"/>
    <s v="Recruiter"/>
    <x v="0"/>
    <n v="43"/>
    <n v="15389"/>
    <n v="14"/>
    <n v="1"/>
    <x v="1"/>
    <x v="2"/>
    <s v="Ahmed Hassan"/>
    <n v="184668"/>
    <s v="30-45"/>
    <x v="1"/>
    <x v="0"/>
  </r>
  <r>
    <x v="338"/>
    <d v="2016-05-31T00:00:00"/>
    <x v="1"/>
    <s v="Accountant"/>
    <x v="0"/>
    <n v="38"/>
    <n v="19094"/>
    <n v="12"/>
    <n v="3"/>
    <x v="0"/>
    <x v="2"/>
    <s v="Ahmed Hassan"/>
    <n v="229128"/>
    <s v="30-45"/>
    <x v="1"/>
    <x v="2"/>
  </r>
  <r>
    <x v="339"/>
    <d v="2019-07-12T00:00:00"/>
    <x v="4"/>
    <s v="HR Executive"/>
    <x v="0"/>
    <n v="38"/>
    <n v="15552"/>
    <n v="3"/>
    <n v="1"/>
    <x v="1"/>
    <x v="0"/>
    <s v="Mona Ali"/>
    <n v="186624"/>
    <s v="30-45"/>
    <x v="0"/>
    <x v="0"/>
  </r>
  <r>
    <x v="340"/>
    <d v="2015-12-18T00:00:00"/>
    <x v="1"/>
    <s v="Financial Analyst"/>
    <x v="0"/>
    <n v="26"/>
    <n v="11851"/>
    <n v="7"/>
    <n v="1"/>
    <x v="1"/>
    <x v="2"/>
    <s v="Ahmed Hassan"/>
    <n v="142212"/>
    <s v="Under 30"/>
    <x v="0"/>
    <x v="0"/>
  </r>
  <r>
    <x v="341"/>
    <d v="2012-03-21T00:00:00"/>
    <x v="1"/>
    <s v="Financial Analyst"/>
    <x v="0"/>
    <n v="31"/>
    <n v="14923"/>
    <n v="11"/>
    <n v="2"/>
    <x v="1"/>
    <x v="0"/>
    <s v="Khaled Samir"/>
    <n v="179076"/>
    <s v="30-45"/>
    <x v="1"/>
    <x v="0"/>
  </r>
  <r>
    <x v="342"/>
    <d v="2022-06-23T00:00:00"/>
    <x v="4"/>
    <s v="HR Executive"/>
    <x v="1"/>
    <n v="60"/>
    <n v="4932"/>
    <n v="8"/>
    <n v="4"/>
    <x v="0"/>
    <x v="0"/>
    <s v="Khaled Samir"/>
    <n v="59184"/>
    <s v="Above 45"/>
    <x v="1"/>
    <x v="1"/>
  </r>
  <r>
    <x v="343"/>
    <d v="2021-02-09T00:00:00"/>
    <x v="4"/>
    <s v="Recruiter"/>
    <x v="1"/>
    <n v="59"/>
    <n v="11961"/>
    <n v="1"/>
    <n v="3"/>
    <x v="1"/>
    <x v="2"/>
    <s v="Youssef Mahmoud"/>
    <n v="143532"/>
    <s v="Above 45"/>
    <x v="2"/>
    <x v="2"/>
  </r>
  <r>
    <x v="344"/>
    <d v="2013-09-18T00:00:00"/>
    <x v="1"/>
    <s v="Accountant"/>
    <x v="0"/>
    <n v="40"/>
    <n v="8911"/>
    <n v="6"/>
    <n v="1"/>
    <x v="0"/>
    <x v="2"/>
    <s v="Sara Adel"/>
    <n v="106932"/>
    <s v="30-45"/>
    <x v="0"/>
    <x v="0"/>
  </r>
  <r>
    <x v="345"/>
    <d v="2023-04-27T00:00:00"/>
    <x v="5"/>
    <s v="IT Support"/>
    <x v="0"/>
    <n v="45"/>
    <n v="9678"/>
    <n v="8"/>
    <n v="1"/>
    <x v="0"/>
    <x v="1"/>
    <s v="Mona Ali"/>
    <n v="116136"/>
    <s v="30-45"/>
    <x v="1"/>
    <x v="0"/>
  </r>
  <r>
    <x v="346"/>
    <d v="2018-12-30T00:00:00"/>
    <x v="1"/>
    <s v="Financial Analyst"/>
    <x v="0"/>
    <n v="24"/>
    <n v="16436"/>
    <n v="15"/>
    <n v="3"/>
    <x v="0"/>
    <x v="0"/>
    <s v="Khaled Samir"/>
    <n v="197232"/>
    <s v="Under 30"/>
    <x v="1"/>
    <x v="2"/>
  </r>
  <r>
    <x v="347"/>
    <d v="2015-03-29T00:00:00"/>
    <x v="2"/>
    <s v="Operations Officer"/>
    <x v="0"/>
    <n v="23"/>
    <n v="11451"/>
    <n v="7"/>
    <n v="4"/>
    <x v="1"/>
    <x v="2"/>
    <s v="Khaled Samir"/>
    <n v="137412"/>
    <s v="Under 30"/>
    <x v="0"/>
    <x v="1"/>
  </r>
  <r>
    <x v="348"/>
    <d v="2021-12-10T00:00:00"/>
    <x v="0"/>
    <s v="Sales Executive"/>
    <x v="0"/>
    <n v="23"/>
    <n v="16005"/>
    <n v="14"/>
    <n v="4"/>
    <x v="0"/>
    <x v="1"/>
    <s v="Youssef Mahmoud"/>
    <n v="192060"/>
    <s v="Under 30"/>
    <x v="1"/>
    <x v="1"/>
  </r>
  <r>
    <x v="349"/>
    <d v="2016-09-03T00:00:00"/>
    <x v="0"/>
    <s v="Sales Manager"/>
    <x v="0"/>
    <n v="44"/>
    <n v="5785"/>
    <n v="0"/>
    <n v="3"/>
    <x v="1"/>
    <x v="1"/>
    <s v="Sara Adel"/>
    <n v="69420"/>
    <s v="30-45"/>
    <x v="2"/>
    <x v="2"/>
  </r>
  <r>
    <x v="350"/>
    <d v="2018-11-12T00:00:00"/>
    <x v="4"/>
    <s v="Recruiter"/>
    <x v="1"/>
    <n v="51"/>
    <n v="5962"/>
    <n v="2"/>
    <n v="3"/>
    <x v="1"/>
    <x v="2"/>
    <s v="Ahmed Hassan"/>
    <n v="71544"/>
    <s v="Above 45"/>
    <x v="2"/>
    <x v="2"/>
  </r>
  <r>
    <x v="351"/>
    <d v="2019-03-25T00:00:00"/>
    <x v="2"/>
    <s v="Operations Officer"/>
    <x v="1"/>
    <n v="55"/>
    <n v="11268"/>
    <n v="13"/>
    <n v="5"/>
    <x v="0"/>
    <x v="0"/>
    <s v="Youssef Mahmoud"/>
    <n v="135216"/>
    <s v="Above 45"/>
    <x v="1"/>
    <x v="1"/>
  </r>
  <r>
    <x v="352"/>
    <d v="2016-08-02T00:00:00"/>
    <x v="3"/>
    <s v="Marketing Specialist"/>
    <x v="1"/>
    <n v="51"/>
    <n v="6741"/>
    <n v="7"/>
    <n v="5"/>
    <x v="0"/>
    <x v="1"/>
    <s v="Khaled Samir"/>
    <n v="80892"/>
    <s v="Above 45"/>
    <x v="0"/>
    <x v="1"/>
  </r>
  <r>
    <x v="353"/>
    <d v="2012-01-04T00:00:00"/>
    <x v="1"/>
    <s v="Accountant"/>
    <x v="0"/>
    <n v="57"/>
    <n v="12858"/>
    <n v="11"/>
    <n v="2"/>
    <x v="0"/>
    <x v="1"/>
    <s v="Ahmed Hassan"/>
    <n v="154296"/>
    <s v="Above 45"/>
    <x v="1"/>
    <x v="0"/>
  </r>
  <r>
    <x v="354"/>
    <d v="2020-06-11T00:00:00"/>
    <x v="1"/>
    <s v="Financial Analyst"/>
    <x v="1"/>
    <n v="56"/>
    <n v="17219"/>
    <n v="10"/>
    <n v="2"/>
    <x v="1"/>
    <x v="1"/>
    <s v="Ahmed Hassan"/>
    <n v="206628"/>
    <s v="Above 45"/>
    <x v="1"/>
    <x v="0"/>
  </r>
  <r>
    <x v="355"/>
    <d v="2016-12-03T00:00:00"/>
    <x v="1"/>
    <s v="Accountant"/>
    <x v="1"/>
    <n v="43"/>
    <n v="18288"/>
    <n v="7"/>
    <n v="1"/>
    <x v="0"/>
    <x v="1"/>
    <s v="Ahmed Hassan"/>
    <n v="219456"/>
    <s v="30-45"/>
    <x v="0"/>
    <x v="0"/>
  </r>
  <r>
    <x v="356"/>
    <d v="2015-12-02T00:00:00"/>
    <x v="3"/>
    <s v="Content Creator"/>
    <x v="0"/>
    <n v="36"/>
    <n v="12252"/>
    <n v="4"/>
    <n v="5"/>
    <x v="1"/>
    <x v="1"/>
    <s v="Sara Adel"/>
    <n v="147024"/>
    <s v="30-45"/>
    <x v="0"/>
    <x v="1"/>
  </r>
  <r>
    <x v="357"/>
    <d v="2015-02-15T00:00:00"/>
    <x v="4"/>
    <s v="Recruiter"/>
    <x v="1"/>
    <n v="44"/>
    <n v="9473"/>
    <n v="3"/>
    <n v="2"/>
    <x v="0"/>
    <x v="0"/>
    <s v="Mona Ali"/>
    <n v="113676"/>
    <s v="30-45"/>
    <x v="0"/>
    <x v="0"/>
  </r>
  <r>
    <x v="358"/>
    <d v="2021-06-18T00:00:00"/>
    <x v="0"/>
    <s v="Sales Executive"/>
    <x v="0"/>
    <n v="47"/>
    <n v="16880"/>
    <n v="2"/>
    <n v="4"/>
    <x v="1"/>
    <x v="1"/>
    <s v="Khaled Samir"/>
    <n v="202560"/>
    <s v="Above 45"/>
    <x v="2"/>
    <x v="1"/>
  </r>
  <r>
    <x v="359"/>
    <d v="2018-07-13T00:00:00"/>
    <x v="3"/>
    <s v="Marketing Specialist"/>
    <x v="0"/>
    <n v="60"/>
    <n v="10017"/>
    <n v="4"/>
    <n v="4"/>
    <x v="1"/>
    <x v="0"/>
    <s v="Sara Adel"/>
    <n v="120204"/>
    <s v="Above 45"/>
    <x v="0"/>
    <x v="1"/>
  </r>
  <r>
    <x v="360"/>
    <d v="2018-05-04T00:00:00"/>
    <x v="0"/>
    <s v="Sales Manager"/>
    <x v="1"/>
    <n v="34"/>
    <n v="11575"/>
    <n v="8"/>
    <n v="5"/>
    <x v="0"/>
    <x v="0"/>
    <s v="Youssef Mahmoud"/>
    <n v="138900"/>
    <s v="30-45"/>
    <x v="1"/>
    <x v="1"/>
  </r>
  <r>
    <x v="361"/>
    <d v="2023-08-11T00:00:00"/>
    <x v="0"/>
    <s v="Sales Executive"/>
    <x v="1"/>
    <n v="53"/>
    <n v="18079"/>
    <n v="14"/>
    <n v="2"/>
    <x v="1"/>
    <x v="0"/>
    <s v="Khaled Samir"/>
    <n v="216948"/>
    <s v="Above 45"/>
    <x v="1"/>
    <x v="0"/>
  </r>
  <r>
    <x v="362"/>
    <d v="2018-07-06T00:00:00"/>
    <x v="0"/>
    <s v="Sales Manager"/>
    <x v="0"/>
    <n v="37"/>
    <n v="7996"/>
    <n v="5"/>
    <n v="4"/>
    <x v="0"/>
    <x v="0"/>
    <s v="Ahmed Hassan"/>
    <n v="95952"/>
    <s v="30-45"/>
    <x v="0"/>
    <x v="1"/>
  </r>
  <r>
    <x v="363"/>
    <d v="2012-03-02T00:00:00"/>
    <x v="5"/>
    <s v="Data Analyst"/>
    <x v="0"/>
    <n v="30"/>
    <n v="18907"/>
    <n v="9"/>
    <n v="4"/>
    <x v="0"/>
    <x v="1"/>
    <s v="Ahmed Hassan"/>
    <n v="226884"/>
    <s v="30-45"/>
    <x v="1"/>
    <x v="1"/>
  </r>
  <r>
    <x v="364"/>
    <d v="2020-12-09T00:00:00"/>
    <x v="2"/>
    <s v="Supply Chain Analyst"/>
    <x v="0"/>
    <n v="49"/>
    <n v="16164"/>
    <n v="2"/>
    <n v="2"/>
    <x v="0"/>
    <x v="1"/>
    <s v="Ahmed Hassan"/>
    <n v="193968"/>
    <s v="Above 45"/>
    <x v="2"/>
    <x v="0"/>
  </r>
  <r>
    <x v="365"/>
    <d v="2017-06-13T00:00:00"/>
    <x v="5"/>
    <s v="Data Analyst"/>
    <x v="0"/>
    <n v="38"/>
    <n v="16937"/>
    <n v="13"/>
    <n v="2"/>
    <x v="0"/>
    <x v="1"/>
    <s v="Sara Adel"/>
    <n v="203244"/>
    <s v="30-45"/>
    <x v="1"/>
    <x v="0"/>
  </r>
  <r>
    <x v="366"/>
    <d v="2023-04-28T00:00:00"/>
    <x v="3"/>
    <s v="Marketing Specialist"/>
    <x v="1"/>
    <n v="26"/>
    <n v="10476"/>
    <n v="6"/>
    <n v="2"/>
    <x v="0"/>
    <x v="2"/>
    <s v="Khaled Samir"/>
    <n v="125712"/>
    <s v="Under 30"/>
    <x v="0"/>
    <x v="0"/>
  </r>
  <r>
    <x v="367"/>
    <d v="2020-03-02T00:00:00"/>
    <x v="4"/>
    <s v="Recruiter"/>
    <x v="1"/>
    <n v="47"/>
    <n v="11914"/>
    <n v="4"/>
    <n v="5"/>
    <x v="1"/>
    <x v="1"/>
    <s v="Sara Adel"/>
    <n v="142968"/>
    <s v="Above 45"/>
    <x v="0"/>
    <x v="1"/>
  </r>
  <r>
    <x v="368"/>
    <d v="2023-08-07T00:00:00"/>
    <x v="4"/>
    <s v="HR Executive"/>
    <x v="1"/>
    <n v="60"/>
    <n v="18701"/>
    <n v="10"/>
    <n v="5"/>
    <x v="0"/>
    <x v="0"/>
    <s v="Ahmed Hassan"/>
    <n v="224412"/>
    <s v="Above 45"/>
    <x v="1"/>
    <x v="1"/>
  </r>
  <r>
    <x v="369"/>
    <d v="2010-09-17T00:00:00"/>
    <x v="1"/>
    <s v="Financial Analyst"/>
    <x v="1"/>
    <n v="34"/>
    <n v="7795"/>
    <n v="0"/>
    <n v="4"/>
    <x v="1"/>
    <x v="2"/>
    <s v="Mona Ali"/>
    <n v="93540"/>
    <s v="30-45"/>
    <x v="2"/>
    <x v="1"/>
  </r>
  <r>
    <x v="370"/>
    <d v="2020-03-04T00:00:00"/>
    <x v="3"/>
    <s v="Marketing Specialist"/>
    <x v="0"/>
    <n v="58"/>
    <n v="4343"/>
    <n v="7"/>
    <n v="2"/>
    <x v="1"/>
    <x v="2"/>
    <s v="Khaled Samir"/>
    <n v="52116"/>
    <s v="Above 45"/>
    <x v="0"/>
    <x v="0"/>
  </r>
  <r>
    <x v="371"/>
    <d v="2019-03-28T00:00:00"/>
    <x v="2"/>
    <s v="Supply Chain Analyst"/>
    <x v="1"/>
    <n v="55"/>
    <n v="18175"/>
    <n v="14"/>
    <n v="5"/>
    <x v="0"/>
    <x v="0"/>
    <s v="Khaled Samir"/>
    <n v="218100"/>
    <s v="Above 45"/>
    <x v="1"/>
    <x v="1"/>
  </r>
  <r>
    <x v="372"/>
    <d v="2016-02-05T00:00:00"/>
    <x v="2"/>
    <s v="Operations Officer"/>
    <x v="0"/>
    <n v="24"/>
    <n v="11583"/>
    <n v="9"/>
    <n v="2"/>
    <x v="0"/>
    <x v="2"/>
    <s v="Ahmed Hassan"/>
    <n v="138996"/>
    <s v="Under 30"/>
    <x v="1"/>
    <x v="0"/>
  </r>
  <r>
    <x v="373"/>
    <d v="2017-06-02T00:00:00"/>
    <x v="4"/>
    <s v="Recruiter"/>
    <x v="1"/>
    <n v="26"/>
    <n v="5347"/>
    <n v="10"/>
    <n v="5"/>
    <x v="1"/>
    <x v="1"/>
    <s v="Youssef Mahmoud"/>
    <n v="64164"/>
    <s v="Under 30"/>
    <x v="1"/>
    <x v="1"/>
  </r>
  <r>
    <x v="374"/>
    <d v="2020-09-03T00:00:00"/>
    <x v="4"/>
    <s v="Recruiter"/>
    <x v="1"/>
    <n v="41"/>
    <n v="14307"/>
    <n v="1"/>
    <n v="4"/>
    <x v="1"/>
    <x v="2"/>
    <s v="Ahmed Hassan"/>
    <n v="171684"/>
    <s v="30-45"/>
    <x v="2"/>
    <x v="1"/>
  </r>
  <r>
    <x v="375"/>
    <d v="2017-12-09T00:00:00"/>
    <x v="3"/>
    <s v="Marketing Specialist"/>
    <x v="0"/>
    <n v="39"/>
    <n v="14975"/>
    <n v="1"/>
    <n v="5"/>
    <x v="1"/>
    <x v="1"/>
    <s v="Mona Ali"/>
    <n v="179700"/>
    <s v="30-45"/>
    <x v="2"/>
    <x v="1"/>
  </r>
  <r>
    <x v="376"/>
    <d v="2010-04-28T00:00:00"/>
    <x v="0"/>
    <s v="Sales Executive"/>
    <x v="1"/>
    <n v="40"/>
    <n v="13351"/>
    <n v="15"/>
    <n v="1"/>
    <x v="0"/>
    <x v="2"/>
    <s v="Ahmed Hassan"/>
    <n v="160212"/>
    <s v="30-45"/>
    <x v="1"/>
    <x v="0"/>
  </r>
  <r>
    <x v="377"/>
    <d v="2012-09-18T00:00:00"/>
    <x v="4"/>
    <s v="HR Executive"/>
    <x v="1"/>
    <n v="48"/>
    <n v="19575"/>
    <n v="7"/>
    <n v="3"/>
    <x v="0"/>
    <x v="2"/>
    <s v="Mona Ali"/>
    <n v="234900"/>
    <s v="Above 45"/>
    <x v="0"/>
    <x v="2"/>
  </r>
  <r>
    <x v="378"/>
    <d v="2019-01-28T00:00:00"/>
    <x v="5"/>
    <s v="IT Support"/>
    <x v="1"/>
    <n v="35"/>
    <n v="10859"/>
    <n v="4"/>
    <n v="4"/>
    <x v="0"/>
    <x v="0"/>
    <s v="Mona Ali"/>
    <n v="130308"/>
    <s v="30-45"/>
    <x v="0"/>
    <x v="1"/>
  </r>
  <r>
    <x v="379"/>
    <d v="2021-08-01T00:00:00"/>
    <x v="1"/>
    <s v="Financial Analyst"/>
    <x v="0"/>
    <n v="34"/>
    <n v="9611"/>
    <n v="9"/>
    <n v="2"/>
    <x v="1"/>
    <x v="1"/>
    <s v="Mona Ali"/>
    <n v="115332"/>
    <s v="30-45"/>
    <x v="1"/>
    <x v="0"/>
  </r>
  <r>
    <x v="380"/>
    <d v="2011-04-09T00:00:00"/>
    <x v="3"/>
    <s v="Content Creator"/>
    <x v="1"/>
    <n v="35"/>
    <n v="18382"/>
    <n v="4"/>
    <n v="2"/>
    <x v="0"/>
    <x v="1"/>
    <s v="Khaled Samir"/>
    <n v="220584"/>
    <s v="30-45"/>
    <x v="0"/>
    <x v="0"/>
  </r>
  <r>
    <x v="381"/>
    <d v="2011-05-30T00:00:00"/>
    <x v="0"/>
    <s v="Sales Manager"/>
    <x v="1"/>
    <n v="35"/>
    <n v="9511"/>
    <n v="5"/>
    <n v="1"/>
    <x v="0"/>
    <x v="2"/>
    <s v="Mona Ali"/>
    <n v="114132"/>
    <s v="30-45"/>
    <x v="0"/>
    <x v="0"/>
  </r>
  <r>
    <x v="382"/>
    <d v="2015-05-20T00:00:00"/>
    <x v="4"/>
    <s v="HR Executive"/>
    <x v="1"/>
    <n v="47"/>
    <n v="17484"/>
    <n v="1"/>
    <n v="4"/>
    <x v="0"/>
    <x v="2"/>
    <s v="Khaled Samir"/>
    <n v="209808"/>
    <s v="Above 45"/>
    <x v="2"/>
    <x v="1"/>
  </r>
  <r>
    <x v="383"/>
    <d v="2017-02-24T00:00:00"/>
    <x v="0"/>
    <s v="Sales Manager"/>
    <x v="0"/>
    <n v="42"/>
    <n v="11529"/>
    <n v="2"/>
    <n v="5"/>
    <x v="0"/>
    <x v="1"/>
    <s v="Sara Adel"/>
    <n v="138348"/>
    <s v="30-45"/>
    <x v="2"/>
    <x v="1"/>
  </r>
  <r>
    <x v="384"/>
    <d v="2010-03-28T00:00:00"/>
    <x v="0"/>
    <s v="Sales Manager"/>
    <x v="0"/>
    <n v="54"/>
    <n v="18486"/>
    <n v="0"/>
    <n v="1"/>
    <x v="0"/>
    <x v="2"/>
    <s v="Mona Ali"/>
    <n v="221832"/>
    <s v="Above 45"/>
    <x v="2"/>
    <x v="0"/>
  </r>
  <r>
    <x v="385"/>
    <d v="2022-12-28T00:00:00"/>
    <x v="1"/>
    <s v="Accountant"/>
    <x v="0"/>
    <n v="60"/>
    <n v="11045"/>
    <n v="12"/>
    <n v="5"/>
    <x v="0"/>
    <x v="1"/>
    <s v="Ahmed Hassan"/>
    <n v="132540"/>
    <s v="Above 45"/>
    <x v="1"/>
    <x v="1"/>
  </r>
  <r>
    <x v="386"/>
    <d v="2023-02-08T00:00:00"/>
    <x v="1"/>
    <s v="Accountant"/>
    <x v="0"/>
    <n v="24"/>
    <n v="7304"/>
    <n v="15"/>
    <n v="1"/>
    <x v="1"/>
    <x v="2"/>
    <s v="Youssef Mahmoud"/>
    <n v="87648"/>
    <s v="Under 30"/>
    <x v="1"/>
    <x v="0"/>
  </r>
  <r>
    <x v="387"/>
    <d v="2018-09-15T00:00:00"/>
    <x v="4"/>
    <s v="Recruiter"/>
    <x v="1"/>
    <n v="48"/>
    <n v="10968"/>
    <n v="0"/>
    <n v="4"/>
    <x v="0"/>
    <x v="1"/>
    <s v="Youssef Mahmoud"/>
    <n v="131616"/>
    <s v="Above 45"/>
    <x v="2"/>
    <x v="1"/>
  </r>
  <r>
    <x v="388"/>
    <d v="2011-08-10T00:00:00"/>
    <x v="2"/>
    <s v="Supply Chain Analyst"/>
    <x v="1"/>
    <n v="36"/>
    <n v="6600"/>
    <n v="12"/>
    <n v="5"/>
    <x v="0"/>
    <x v="2"/>
    <s v="Mona Ali"/>
    <n v="79200"/>
    <s v="30-45"/>
    <x v="1"/>
    <x v="1"/>
  </r>
  <r>
    <x v="389"/>
    <d v="2019-12-30T00:00:00"/>
    <x v="4"/>
    <s v="HR Executive"/>
    <x v="1"/>
    <n v="30"/>
    <n v="10457"/>
    <n v="2"/>
    <n v="5"/>
    <x v="0"/>
    <x v="2"/>
    <s v="Youssef Mahmoud"/>
    <n v="125484"/>
    <s v="30-45"/>
    <x v="2"/>
    <x v="1"/>
  </r>
  <r>
    <x v="390"/>
    <d v="2020-01-05T00:00:00"/>
    <x v="0"/>
    <s v="Sales Executive"/>
    <x v="1"/>
    <n v="30"/>
    <n v="15014"/>
    <n v="11"/>
    <n v="2"/>
    <x v="0"/>
    <x v="1"/>
    <s v="Khaled Samir"/>
    <n v="180168"/>
    <s v="30-45"/>
    <x v="1"/>
    <x v="0"/>
  </r>
  <r>
    <x v="391"/>
    <d v="2012-06-17T00:00:00"/>
    <x v="2"/>
    <s v="Operations Officer"/>
    <x v="1"/>
    <n v="37"/>
    <n v="17397"/>
    <n v="12"/>
    <n v="3"/>
    <x v="0"/>
    <x v="2"/>
    <s v="Khaled Samir"/>
    <n v="208764"/>
    <s v="30-45"/>
    <x v="1"/>
    <x v="2"/>
  </r>
  <r>
    <x v="392"/>
    <d v="2022-05-14T00:00:00"/>
    <x v="3"/>
    <s v="Content Creator"/>
    <x v="1"/>
    <n v="28"/>
    <n v="13363"/>
    <n v="10"/>
    <n v="5"/>
    <x v="1"/>
    <x v="0"/>
    <s v="Mona Ali"/>
    <n v="160356"/>
    <s v="Under 30"/>
    <x v="1"/>
    <x v="1"/>
  </r>
  <r>
    <x v="393"/>
    <d v="2016-06-06T00:00:00"/>
    <x v="1"/>
    <s v="Accountant"/>
    <x v="0"/>
    <n v="56"/>
    <n v="6640"/>
    <n v="4"/>
    <n v="2"/>
    <x v="1"/>
    <x v="0"/>
    <s v="Youssef Mahmoud"/>
    <n v="79680"/>
    <s v="Above 45"/>
    <x v="0"/>
    <x v="0"/>
  </r>
  <r>
    <x v="394"/>
    <d v="2022-03-22T00:00:00"/>
    <x v="3"/>
    <s v="Marketing Specialist"/>
    <x v="0"/>
    <n v="37"/>
    <n v="6172"/>
    <n v="9"/>
    <n v="5"/>
    <x v="0"/>
    <x v="1"/>
    <s v="Sara Adel"/>
    <n v="74064"/>
    <s v="30-45"/>
    <x v="1"/>
    <x v="1"/>
  </r>
  <r>
    <x v="395"/>
    <d v="2010-07-06T00:00:00"/>
    <x v="0"/>
    <s v="Sales Executive"/>
    <x v="0"/>
    <n v="41"/>
    <n v="15569"/>
    <n v="2"/>
    <n v="2"/>
    <x v="0"/>
    <x v="0"/>
    <s v="Youssef Mahmoud"/>
    <n v="186828"/>
    <s v="30-45"/>
    <x v="2"/>
    <x v="0"/>
  </r>
  <r>
    <x v="396"/>
    <d v="2022-12-21T00:00:00"/>
    <x v="1"/>
    <s v="Financial Analyst"/>
    <x v="0"/>
    <n v="29"/>
    <n v="6105"/>
    <n v="2"/>
    <n v="3"/>
    <x v="1"/>
    <x v="0"/>
    <s v="Sara Adel"/>
    <n v="73260"/>
    <s v="Under 30"/>
    <x v="2"/>
    <x v="2"/>
  </r>
  <r>
    <x v="397"/>
    <d v="2014-11-24T00:00:00"/>
    <x v="2"/>
    <s v="Supply Chain Analyst"/>
    <x v="1"/>
    <n v="53"/>
    <n v="8298"/>
    <n v="10"/>
    <n v="4"/>
    <x v="0"/>
    <x v="1"/>
    <s v="Mona Ali"/>
    <n v="99576"/>
    <s v="Above 45"/>
    <x v="1"/>
    <x v="1"/>
  </r>
  <r>
    <x v="398"/>
    <d v="2015-06-24T00:00:00"/>
    <x v="2"/>
    <s v="Supply Chain Analyst"/>
    <x v="1"/>
    <n v="30"/>
    <n v="14501"/>
    <n v="14"/>
    <n v="5"/>
    <x v="1"/>
    <x v="2"/>
    <s v="Khaled Samir"/>
    <n v="174012"/>
    <s v="30-45"/>
    <x v="1"/>
    <x v="1"/>
  </r>
  <r>
    <x v="399"/>
    <d v="2016-01-21T00:00:00"/>
    <x v="4"/>
    <s v="Recruiter"/>
    <x v="1"/>
    <n v="30"/>
    <n v="10546"/>
    <n v="0"/>
    <n v="2"/>
    <x v="1"/>
    <x v="2"/>
    <s v="Khaled Samir"/>
    <n v="126552"/>
    <s v="30-45"/>
    <x v="2"/>
    <x v="0"/>
  </r>
  <r>
    <x v="400"/>
    <d v="2016-05-11T00:00:00"/>
    <x v="1"/>
    <s v="Financial Analyst"/>
    <x v="1"/>
    <n v="32"/>
    <n v="16336"/>
    <n v="0"/>
    <n v="1"/>
    <x v="0"/>
    <x v="2"/>
    <s v="Ahmed Hassan"/>
    <n v="196032"/>
    <s v="30-45"/>
    <x v="2"/>
    <x v="0"/>
  </r>
  <r>
    <x v="401"/>
    <d v="2016-03-05T00:00:00"/>
    <x v="4"/>
    <s v="Recruiter"/>
    <x v="1"/>
    <n v="35"/>
    <n v="8188"/>
    <n v="5"/>
    <n v="4"/>
    <x v="0"/>
    <x v="2"/>
    <s v="Mona Ali"/>
    <n v="98256"/>
    <s v="30-45"/>
    <x v="0"/>
    <x v="1"/>
  </r>
  <r>
    <x v="402"/>
    <d v="2016-06-06T00:00:00"/>
    <x v="4"/>
    <s v="HR Executive"/>
    <x v="1"/>
    <n v="48"/>
    <n v="12992"/>
    <n v="11"/>
    <n v="5"/>
    <x v="0"/>
    <x v="2"/>
    <s v="Khaled Samir"/>
    <n v="155904"/>
    <s v="Above 45"/>
    <x v="1"/>
    <x v="1"/>
  </r>
  <r>
    <x v="403"/>
    <d v="2015-05-23T00:00:00"/>
    <x v="2"/>
    <s v="Operations Officer"/>
    <x v="1"/>
    <n v="27"/>
    <n v="7233"/>
    <n v="6"/>
    <n v="4"/>
    <x v="1"/>
    <x v="1"/>
    <s v="Sara Adel"/>
    <n v="86796"/>
    <s v="Under 30"/>
    <x v="0"/>
    <x v="1"/>
  </r>
  <r>
    <x v="404"/>
    <d v="2020-07-02T00:00:00"/>
    <x v="2"/>
    <s v="Supply Chain Analyst"/>
    <x v="0"/>
    <n v="31"/>
    <n v="17223"/>
    <n v="7"/>
    <n v="5"/>
    <x v="0"/>
    <x v="0"/>
    <s v="Sara Adel"/>
    <n v="206676"/>
    <s v="30-45"/>
    <x v="0"/>
    <x v="1"/>
  </r>
  <r>
    <x v="405"/>
    <d v="2019-06-10T00:00:00"/>
    <x v="3"/>
    <s v="Content Creator"/>
    <x v="1"/>
    <n v="48"/>
    <n v="8498"/>
    <n v="6"/>
    <n v="4"/>
    <x v="0"/>
    <x v="2"/>
    <s v="Khaled Samir"/>
    <n v="101976"/>
    <s v="Above 45"/>
    <x v="0"/>
    <x v="1"/>
  </r>
  <r>
    <x v="406"/>
    <d v="2017-05-14T00:00:00"/>
    <x v="2"/>
    <s v="Operations Officer"/>
    <x v="1"/>
    <n v="47"/>
    <n v="11257"/>
    <n v="7"/>
    <n v="4"/>
    <x v="0"/>
    <x v="0"/>
    <s v="Youssef Mahmoud"/>
    <n v="135084"/>
    <s v="Above 45"/>
    <x v="0"/>
    <x v="1"/>
  </r>
  <r>
    <x v="407"/>
    <d v="2012-03-12T00:00:00"/>
    <x v="3"/>
    <s v="Content Creator"/>
    <x v="1"/>
    <n v="29"/>
    <n v="16060"/>
    <n v="8"/>
    <n v="1"/>
    <x v="1"/>
    <x v="0"/>
    <s v="Khaled Samir"/>
    <n v="192720"/>
    <s v="Under 30"/>
    <x v="1"/>
    <x v="0"/>
  </r>
  <r>
    <x v="408"/>
    <d v="2019-09-26T00:00:00"/>
    <x v="4"/>
    <s v="Recruiter"/>
    <x v="0"/>
    <n v="42"/>
    <n v="18811"/>
    <n v="10"/>
    <n v="1"/>
    <x v="1"/>
    <x v="2"/>
    <s v="Ahmed Hassan"/>
    <n v="225732"/>
    <s v="30-45"/>
    <x v="1"/>
    <x v="0"/>
  </r>
  <r>
    <x v="409"/>
    <d v="2012-11-17T00:00:00"/>
    <x v="0"/>
    <s v="Sales Manager"/>
    <x v="0"/>
    <n v="49"/>
    <n v="17933"/>
    <n v="1"/>
    <n v="5"/>
    <x v="1"/>
    <x v="2"/>
    <s v="Mona Ali"/>
    <n v="215196"/>
    <s v="Above 45"/>
    <x v="2"/>
    <x v="1"/>
  </r>
  <r>
    <x v="410"/>
    <d v="2013-12-11T00:00:00"/>
    <x v="3"/>
    <s v="Marketing Specialist"/>
    <x v="0"/>
    <n v="57"/>
    <n v="9317"/>
    <n v="4"/>
    <n v="1"/>
    <x v="0"/>
    <x v="2"/>
    <s v="Ahmed Hassan"/>
    <n v="111804"/>
    <s v="Above 45"/>
    <x v="0"/>
    <x v="0"/>
  </r>
  <r>
    <x v="411"/>
    <d v="2015-07-20T00:00:00"/>
    <x v="5"/>
    <s v="Software Engineer"/>
    <x v="0"/>
    <n v="48"/>
    <n v="12658"/>
    <n v="3"/>
    <n v="4"/>
    <x v="0"/>
    <x v="0"/>
    <s v="Khaled Samir"/>
    <n v="151896"/>
    <s v="Above 45"/>
    <x v="0"/>
    <x v="1"/>
  </r>
  <r>
    <x v="412"/>
    <d v="2011-02-11T00:00:00"/>
    <x v="3"/>
    <s v="Marketing Specialist"/>
    <x v="1"/>
    <n v="42"/>
    <n v="6528"/>
    <n v="1"/>
    <n v="3"/>
    <x v="0"/>
    <x v="0"/>
    <s v="Youssef Mahmoud"/>
    <n v="78336"/>
    <s v="30-45"/>
    <x v="2"/>
    <x v="2"/>
  </r>
  <r>
    <x v="413"/>
    <d v="2010-06-17T00:00:00"/>
    <x v="0"/>
    <s v="Sales Executive"/>
    <x v="1"/>
    <n v="60"/>
    <n v="10244"/>
    <n v="1"/>
    <n v="2"/>
    <x v="0"/>
    <x v="1"/>
    <s v="Mona Ali"/>
    <n v="122928"/>
    <s v="Above 45"/>
    <x v="2"/>
    <x v="0"/>
  </r>
  <r>
    <x v="414"/>
    <d v="2012-06-02T00:00:00"/>
    <x v="1"/>
    <s v="Financial Analyst"/>
    <x v="0"/>
    <n v="53"/>
    <n v="16322"/>
    <n v="2"/>
    <n v="4"/>
    <x v="0"/>
    <x v="0"/>
    <s v="Khaled Samir"/>
    <n v="195864"/>
    <s v="Above 45"/>
    <x v="2"/>
    <x v="1"/>
  </r>
  <r>
    <x v="415"/>
    <d v="2023-07-17T00:00:00"/>
    <x v="3"/>
    <s v="Content Creator"/>
    <x v="0"/>
    <n v="54"/>
    <n v="9836"/>
    <n v="4"/>
    <n v="3"/>
    <x v="0"/>
    <x v="0"/>
    <s v="Ahmed Hassan"/>
    <n v="118032"/>
    <s v="Above 45"/>
    <x v="0"/>
    <x v="2"/>
  </r>
  <r>
    <x v="416"/>
    <d v="2013-03-21T00:00:00"/>
    <x v="3"/>
    <s v="Marketing Specialist"/>
    <x v="1"/>
    <n v="58"/>
    <n v="14476"/>
    <n v="6"/>
    <n v="5"/>
    <x v="0"/>
    <x v="2"/>
    <s v="Mona Ali"/>
    <n v="173712"/>
    <s v="Above 45"/>
    <x v="0"/>
    <x v="1"/>
  </r>
  <r>
    <x v="417"/>
    <d v="2015-07-15T00:00:00"/>
    <x v="5"/>
    <s v="Software Engineer"/>
    <x v="0"/>
    <n v="26"/>
    <n v="19510"/>
    <n v="6"/>
    <n v="5"/>
    <x v="1"/>
    <x v="1"/>
    <s v="Youssef Mahmoud"/>
    <n v="234120"/>
    <s v="Under 30"/>
    <x v="0"/>
    <x v="1"/>
  </r>
  <r>
    <x v="418"/>
    <d v="2017-09-16T00:00:00"/>
    <x v="5"/>
    <s v="Software Engineer"/>
    <x v="0"/>
    <n v="31"/>
    <n v="9882"/>
    <n v="2"/>
    <n v="2"/>
    <x v="0"/>
    <x v="0"/>
    <s v="Mona Ali"/>
    <n v="118584"/>
    <s v="30-45"/>
    <x v="2"/>
    <x v="0"/>
  </r>
  <r>
    <x v="419"/>
    <d v="2017-05-19T00:00:00"/>
    <x v="2"/>
    <s v="Supply Chain Analyst"/>
    <x v="0"/>
    <n v="56"/>
    <n v="11940"/>
    <n v="5"/>
    <n v="3"/>
    <x v="1"/>
    <x v="0"/>
    <s v="Khaled Samir"/>
    <n v="143280"/>
    <s v="Above 45"/>
    <x v="0"/>
    <x v="2"/>
  </r>
  <r>
    <x v="420"/>
    <d v="2017-01-08T00:00:00"/>
    <x v="1"/>
    <s v="Financial Analyst"/>
    <x v="1"/>
    <n v="48"/>
    <n v="13111"/>
    <n v="14"/>
    <n v="1"/>
    <x v="0"/>
    <x v="2"/>
    <s v="Khaled Samir"/>
    <n v="157332"/>
    <s v="Above 45"/>
    <x v="1"/>
    <x v="0"/>
  </r>
  <r>
    <x v="421"/>
    <d v="2015-03-29T00:00:00"/>
    <x v="3"/>
    <s v="Content Creator"/>
    <x v="1"/>
    <n v="51"/>
    <n v="8022"/>
    <n v="2"/>
    <n v="5"/>
    <x v="1"/>
    <x v="0"/>
    <s v="Ahmed Hassan"/>
    <n v="96264"/>
    <s v="Above 45"/>
    <x v="2"/>
    <x v="1"/>
  </r>
  <r>
    <x v="422"/>
    <d v="2019-02-28T00:00:00"/>
    <x v="3"/>
    <s v="Marketing Specialist"/>
    <x v="0"/>
    <n v="60"/>
    <n v="19503"/>
    <n v="9"/>
    <n v="2"/>
    <x v="0"/>
    <x v="0"/>
    <s v="Ahmed Hassan"/>
    <n v="234036"/>
    <s v="Above 45"/>
    <x v="1"/>
    <x v="0"/>
  </r>
  <r>
    <x v="423"/>
    <d v="2010-07-16T00:00:00"/>
    <x v="5"/>
    <s v="IT Support"/>
    <x v="0"/>
    <n v="29"/>
    <n v="4064"/>
    <n v="7"/>
    <n v="2"/>
    <x v="1"/>
    <x v="2"/>
    <s v="Khaled Samir"/>
    <n v="48768"/>
    <s v="Under 30"/>
    <x v="0"/>
    <x v="0"/>
  </r>
  <r>
    <x v="424"/>
    <d v="2012-04-22T00:00:00"/>
    <x v="2"/>
    <s v="Operations Officer"/>
    <x v="1"/>
    <n v="28"/>
    <n v="16500"/>
    <n v="9"/>
    <n v="2"/>
    <x v="1"/>
    <x v="2"/>
    <s v="Youssef Mahmoud"/>
    <n v="198000"/>
    <s v="Under 30"/>
    <x v="1"/>
    <x v="0"/>
  </r>
  <r>
    <x v="425"/>
    <d v="2022-04-19T00:00:00"/>
    <x v="5"/>
    <s v="Data Analyst"/>
    <x v="1"/>
    <n v="56"/>
    <n v="8828"/>
    <n v="12"/>
    <n v="3"/>
    <x v="1"/>
    <x v="0"/>
    <s v="Ahmed Hassan"/>
    <n v="105936"/>
    <s v="Above 45"/>
    <x v="1"/>
    <x v="2"/>
  </r>
  <r>
    <x v="426"/>
    <d v="2016-02-28T00:00:00"/>
    <x v="2"/>
    <s v="Operations Officer"/>
    <x v="1"/>
    <n v="54"/>
    <n v="5001"/>
    <n v="2"/>
    <n v="1"/>
    <x v="0"/>
    <x v="2"/>
    <s v="Sara Adel"/>
    <n v="60012"/>
    <s v="Above 45"/>
    <x v="2"/>
    <x v="0"/>
  </r>
  <r>
    <x v="427"/>
    <d v="2023-04-18T00:00:00"/>
    <x v="4"/>
    <s v="Recruiter"/>
    <x v="1"/>
    <n v="31"/>
    <n v="18478"/>
    <n v="11"/>
    <n v="4"/>
    <x v="0"/>
    <x v="1"/>
    <s v="Youssef Mahmoud"/>
    <n v="221736"/>
    <s v="30-45"/>
    <x v="1"/>
    <x v="1"/>
  </r>
  <r>
    <x v="428"/>
    <d v="2019-01-24T00:00:00"/>
    <x v="5"/>
    <s v="IT Support"/>
    <x v="1"/>
    <n v="42"/>
    <n v="17025"/>
    <n v="15"/>
    <n v="4"/>
    <x v="0"/>
    <x v="0"/>
    <s v="Khaled Samir"/>
    <n v="204300"/>
    <s v="30-45"/>
    <x v="1"/>
    <x v="1"/>
  </r>
  <r>
    <x v="429"/>
    <d v="2022-11-23T00:00:00"/>
    <x v="3"/>
    <s v="Content Creator"/>
    <x v="1"/>
    <n v="50"/>
    <n v="17304"/>
    <n v="5"/>
    <n v="2"/>
    <x v="0"/>
    <x v="0"/>
    <s v="Sara Adel"/>
    <n v="207648"/>
    <s v="Above 45"/>
    <x v="0"/>
    <x v="0"/>
  </r>
  <r>
    <x v="430"/>
    <d v="2023-02-23T00:00:00"/>
    <x v="5"/>
    <s v="Data Analyst"/>
    <x v="0"/>
    <n v="50"/>
    <n v="4816"/>
    <n v="8"/>
    <n v="1"/>
    <x v="0"/>
    <x v="2"/>
    <s v="Mona Ali"/>
    <n v="57792"/>
    <s v="Above 45"/>
    <x v="1"/>
    <x v="0"/>
  </r>
  <r>
    <x v="431"/>
    <d v="2010-08-04T00:00:00"/>
    <x v="0"/>
    <s v="Sales Executive"/>
    <x v="0"/>
    <n v="48"/>
    <n v="11761"/>
    <n v="2"/>
    <n v="1"/>
    <x v="0"/>
    <x v="1"/>
    <s v="Sara Adel"/>
    <n v="141132"/>
    <s v="Above 45"/>
    <x v="2"/>
    <x v="0"/>
  </r>
  <r>
    <x v="432"/>
    <d v="2018-10-27T00:00:00"/>
    <x v="5"/>
    <s v="Software Engineer"/>
    <x v="0"/>
    <n v="53"/>
    <n v="9446"/>
    <n v="10"/>
    <n v="4"/>
    <x v="1"/>
    <x v="2"/>
    <s v="Sara Adel"/>
    <n v="113352"/>
    <s v="Above 45"/>
    <x v="1"/>
    <x v="1"/>
  </r>
  <r>
    <x v="433"/>
    <d v="2011-04-11T00:00:00"/>
    <x v="0"/>
    <s v="Sales Executive"/>
    <x v="0"/>
    <n v="50"/>
    <n v="4761"/>
    <n v="12"/>
    <n v="2"/>
    <x v="1"/>
    <x v="1"/>
    <s v="Khaled Samir"/>
    <n v="57132"/>
    <s v="Above 45"/>
    <x v="1"/>
    <x v="0"/>
  </r>
  <r>
    <x v="434"/>
    <d v="2020-12-23T00:00:00"/>
    <x v="0"/>
    <s v="Sales Manager"/>
    <x v="1"/>
    <n v="46"/>
    <n v="7526"/>
    <n v="9"/>
    <n v="2"/>
    <x v="1"/>
    <x v="2"/>
    <s v="Sara Adel"/>
    <n v="90312"/>
    <s v="Above 45"/>
    <x v="1"/>
    <x v="0"/>
  </r>
  <r>
    <x v="435"/>
    <d v="2014-05-30T00:00:00"/>
    <x v="3"/>
    <s v="Marketing Specialist"/>
    <x v="1"/>
    <n v="35"/>
    <n v="5689"/>
    <n v="11"/>
    <n v="5"/>
    <x v="0"/>
    <x v="0"/>
    <s v="Sara Adel"/>
    <n v="68268"/>
    <s v="30-45"/>
    <x v="1"/>
    <x v="1"/>
  </r>
  <r>
    <x v="436"/>
    <d v="2018-08-25T00:00:00"/>
    <x v="2"/>
    <s v="Operations Officer"/>
    <x v="1"/>
    <n v="28"/>
    <n v="18145"/>
    <n v="10"/>
    <n v="1"/>
    <x v="0"/>
    <x v="2"/>
    <s v="Youssef Mahmoud"/>
    <n v="217740"/>
    <s v="Under 30"/>
    <x v="1"/>
    <x v="0"/>
  </r>
  <r>
    <x v="437"/>
    <d v="2015-01-16T00:00:00"/>
    <x v="1"/>
    <s v="Financial Analyst"/>
    <x v="0"/>
    <n v="26"/>
    <n v="19425"/>
    <n v="3"/>
    <n v="4"/>
    <x v="1"/>
    <x v="1"/>
    <s v="Sara Adel"/>
    <n v="233100"/>
    <s v="Under 30"/>
    <x v="0"/>
    <x v="1"/>
  </r>
  <r>
    <x v="438"/>
    <d v="2016-11-15T00:00:00"/>
    <x v="0"/>
    <s v="Sales Manager"/>
    <x v="1"/>
    <n v="60"/>
    <n v="17522"/>
    <n v="9"/>
    <n v="1"/>
    <x v="0"/>
    <x v="2"/>
    <s v="Youssef Mahmoud"/>
    <n v="210264"/>
    <s v="Above 45"/>
    <x v="1"/>
    <x v="0"/>
  </r>
  <r>
    <x v="439"/>
    <d v="2010-09-12T00:00:00"/>
    <x v="4"/>
    <s v="HR Executive"/>
    <x v="0"/>
    <n v="38"/>
    <n v="16237"/>
    <n v="7"/>
    <n v="5"/>
    <x v="0"/>
    <x v="1"/>
    <s v="Sara Adel"/>
    <n v="194844"/>
    <s v="30-45"/>
    <x v="0"/>
    <x v="1"/>
  </r>
  <r>
    <x v="440"/>
    <d v="2010-02-08T00:00:00"/>
    <x v="4"/>
    <s v="Recruiter"/>
    <x v="1"/>
    <n v="26"/>
    <n v="8374"/>
    <n v="12"/>
    <n v="1"/>
    <x v="1"/>
    <x v="0"/>
    <s v="Mona Ali"/>
    <n v="100488"/>
    <s v="Under 30"/>
    <x v="1"/>
    <x v="0"/>
  </r>
  <r>
    <x v="441"/>
    <d v="2023-05-01T00:00:00"/>
    <x v="1"/>
    <s v="Financial Analyst"/>
    <x v="0"/>
    <n v="54"/>
    <n v="15363"/>
    <n v="13"/>
    <n v="5"/>
    <x v="0"/>
    <x v="0"/>
    <s v="Youssef Mahmoud"/>
    <n v="184356"/>
    <s v="Above 45"/>
    <x v="1"/>
    <x v="1"/>
  </r>
  <r>
    <x v="442"/>
    <d v="2010-09-15T00:00:00"/>
    <x v="1"/>
    <s v="Accountant"/>
    <x v="0"/>
    <n v="58"/>
    <n v="16623"/>
    <n v="4"/>
    <n v="3"/>
    <x v="1"/>
    <x v="2"/>
    <s v="Mona Ali"/>
    <n v="199476"/>
    <s v="Above 45"/>
    <x v="0"/>
    <x v="2"/>
  </r>
  <r>
    <x v="443"/>
    <d v="2023-05-25T00:00:00"/>
    <x v="2"/>
    <s v="Operations Officer"/>
    <x v="1"/>
    <n v="50"/>
    <n v="4409"/>
    <n v="11"/>
    <n v="5"/>
    <x v="1"/>
    <x v="0"/>
    <s v="Ahmed Hassan"/>
    <n v="52908"/>
    <s v="Above 45"/>
    <x v="1"/>
    <x v="1"/>
  </r>
  <r>
    <x v="444"/>
    <d v="2017-10-22T00:00:00"/>
    <x v="4"/>
    <s v="HR Executive"/>
    <x v="1"/>
    <n v="33"/>
    <n v="18328"/>
    <n v="8"/>
    <n v="1"/>
    <x v="1"/>
    <x v="0"/>
    <s v="Sara Adel"/>
    <n v="219936"/>
    <s v="30-45"/>
    <x v="1"/>
    <x v="0"/>
  </r>
  <r>
    <x v="445"/>
    <d v="2021-07-15T00:00:00"/>
    <x v="4"/>
    <s v="HR Executive"/>
    <x v="0"/>
    <n v="58"/>
    <n v="16953"/>
    <n v="10"/>
    <n v="4"/>
    <x v="0"/>
    <x v="0"/>
    <s v="Mona Ali"/>
    <n v="203436"/>
    <s v="Above 45"/>
    <x v="1"/>
    <x v="1"/>
  </r>
  <r>
    <x v="446"/>
    <d v="2015-10-05T00:00:00"/>
    <x v="0"/>
    <s v="Sales Manager"/>
    <x v="1"/>
    <n v="32"/>
    <n v="18662"/>
    <n v="7"/>
    <n v="1"/>
    <x v="1"/>
    <x v="1"/>
    <s v="Khaled Samir"/>
    <n v="223944"/>
    <s v="30-45"/>
    <x v="0"/>
    <x v="0"/>
  </r>
  <r>
    <x v="447"/>
    <d v="2021-03-01T00:00:00"/>
    <x v="3"/>
    <s v="Marketing Specialist"/>
    <x v="1"/>
    <n v="58"/>
    <n v="8705"/>
    <n v="1"/>
    <n v="1"/>
    <x v="1"/>
    <x v="0"/>
    <s v="Sara Adel"/>
    <n v="104460"/>
    <s v="Above 45"/>
    <x v="2"/>
    <x v="0"/>
  </r>
  <r>
    <x v="448"/>
    <d v="2010-11-09T00:00:00"/>
    <x v="5"/>
    <s v="Software Engineer"/>
    <x v="0"/>
    <n v="50"/>
    <n v="10287"/>
    <n v="13"/>
    <n v="5"/>
    <x v="1"/>
    <x v="2"/>
    <s v="Sara Adel"/>
    <n v="123444"/>
    <s v="Above 45"/>
    <x v="1"/>
    <x v="1"/>
  </r>
  <r>
    <x v="449"/>
    <d v="2010-04-23T00:00:00"/>
    <x v="3"/>
    <s v="Content Creator"/>
    <x v="0"/>
    <n v="43"/>
    <n v="7808"/>
    <n v="1"/>
    <n v="5"/>
    <x v="0"/>
    <x v="1"/>
    <s v="Sara Adel"/>
    <n v="93696"/>
    <s v="30-45"/>
    <x v="2"/>
    <x v="1"/>
  </r>
  <r>
    <x v="450"/>
    <d v="2013-05-07T00:00:00"/>
    <x v="5"/>
    <s v="Software Engineer"/>
    <x v="0"/>
    <n v="56"/>
    <n v="12291"/>
    <n v="0"/>
    <n v="1"/>
    <x v="0"/>
    <x v="2"/>
    <s v="Mona Ali"/>
    <n v="147492"/>
    <s v="Above 45"/>
    <x v="2"/>
    <x v="0"/>
  </r>
  <r>
    <x v="451"/>
    <d v="2017-01-27T00:00:00"/>
    <x v="3"/>
    <s v="Marketing Specialist"/>
    <x v="1"/>
    <n v="39"/>
    <n v="19926"/>
    <n v="12"/>
    <n v="3"/>
    <x v="1"/>
    <x v="0"/>
    <s v="Khaled Samir"/>
    <n v="239112"/>
    <s v="30-45"/>
    <x v="1"/>
    <x v="2"/>
  </r>
  <r>
    <x v="452"/>
    <d v="2012-07-13T00:00:00"/>
    <x v="1"/>
    <s v="Financial Analyst"/>
    <x v="0"/>
    <n v="30"/>
    <n v="18982"/>
    <n v="9"/>
    <n v="4"/>
    <x v="1"/>
    <x v="2"/>
    <s v="Ahmed Hassan"/>
    <n v="227784"/>
    <s v="30-45"/>
    <x v="1"/>
    <x v="1"/>
  </r>
  <r>
    <x v="453"/>
    <d v="2021-07-12T00:00:00"/>
    <x v="2"/>
    <s v="Supply Chain Analyst"/>
    <x v="0"/>
    <n v="49"/>
    <n v="19086"/>
    <n v="14"/>
    <n v="2"/>
    <x v="0"/>
    <x v="0"/>
    <s v="Ahmed Hassan"/>
    <n v="229032"/>
    <s v="Above 45"/>
    <x v="1"/>
    <x v="0"/>
  </r>
  <r>
    <x v="454"/>
    <d v="2013-04-10T00:00:00"/>
    <x v="5"/>
    <s v="Data Analyst"/>
    <x v="1"/>
    <n v="37"/>
    <n v="9928"/>
    <n v="2"/>
    <n v="5"/>
    <x v="0"/>
    <x v="1"/>
    <s v="Mona Ali"/>
    <n v="119136"/>
    <s v="30-45"/>
    <x v="2"/>
    <x v="1"/>
  </r>
  <r>
    <x v="455"/>
    <d v="2014-06-25T00:00:00"/>
    <x v="0"/>
    <s v="Sales Manager"/>
    <x v="0"/>
    <n v="59"/>
    <n v="7761"/>
    <n v="8"/>
    <n v="2"/>
    <x v="1"/>
    <x v="0"/>
    <s v="Sara Adel"/>
    <n v="93132"/>
    <s v="Above 45"/>
    <x v="1"/>
    <x v="0"/>
  </r>
  <r>
    <x v="456"/>
    <d v="2019-04-25T00:00:00"/>
    <x v="1"/>
    <s v="Accountant"/>
    <x v="0"/>
    <n v="35"/>
    <n v="16124"/>
    <n v="13"/>
    <n v="2"/>
    <x v="0"/>
    <x v="1"/>
    <s v="Sara Adel"/>
    <n v="193488"/>
    <s v="30-45"/>
    <x v="1"/>
    <x v="0"/>
  </r>
  <r>
    <x v="457"/>
    <d v="2021-08-16T00:00:00"/>
    <x v="4"/>
    <s v="Recruiter"/>
    <x v="0"/>
    <n v="38"/>
    <n v="4694"/>
    <n v="7"/>
    <n v="5"/>
    <x v="1"/>
    <x v="2"/>
    <s v="Khaled Samir"/>
    <n v="56328"/>
    <s v="30-45"/>
    <x v="0"/>
    <x v="1"/>
  </r>
  <r>
    <x v="458"/>
    <d v="2012-01-12T00:00:00"/>
    <x v="5"/>
    <s v="Data Analyst"/>
    <x v="1"/>
    <n v="54"/>
    <n v="8625"/>
    <n v="9"/>
    <n v="4"/>
    <x v="1"/>
    <x v="1"/>
    <s v="Sara Adel"/>
    <n v="103500"/>
    <s v="Above 45"/>
    <x v="1"/>
    <x v="1"/>
  </r>
  <r>
    <x v="459"/>
    <d v="2013-03-29T00:00:00"/>
    <x v="3"/>
    <s v="Marketing Specialist"/>
    <x v="0"/>
    <n v="27"/>
    <n v="15360"/>
    <n v="0"/>
    <n v="3"/>
    <x v="1"/>
    <x v="0"/>
    <s v="Sara Adel"/>
    <n v="184320"/>
    <s v="Under 30"/>
    <x v="2"/>
    <x v="2"/>
  </r>
  <r>
    <x v="460"/>
    <d v="2022-07-17T00:00:00"/>
    <x v="5"/>
    <s v="Software Engineer"/>
    <x v="0"/>
    <n v="37"/>
    <n v="11488"/>
    <n v="9"/>
    <n v="2"/>
    <x v="1"/>
    <x v="1"/>
    <s v="Khaled Samir"/>
    <n v="137856"/>
    <s v="30-45"/>
    <x v="1"/>
    <x v="0"/>
  </r>
  <r>
    <x v="461"/>
    <d v="2020-12-14T00:00:00"/>
    <x v="4"/>
    <s v="HR Executive"/>
    <x v="0"/>
    <n v="33"/>
    <n v="10553"/>
    <n v="8"/>
    <n v="5"/>
    <x v="0"/>
    <x v="2"/>
    <s v="Ahmed Hassan"/>
    <n v="126636"/>
    <s v="30-45"/>
    <x v="1"/>
    <x v="1"/>
  </r>
  <r>
    <x v="462"/>
    <d v="2022-01-13T00:00:00"/>
    <x v="5"/>
    <s v="IT Support"/>
    <x v="0"/>
    <n v="44"/>
    <n v="6239"/>
    <n v="13"/>
    <n v="1"/>
    <x v="1"/>
    <x v="1"/>
    <s v="Khaled Samir"/>
    <n v="74868"/>
    <s v="30-45"/>
    <x v="1"/>
    <x v="0"/>
  </r>
  <r>
    <x v="463"/>
    <d v="2019-05-07T00:00:00"/>
    <x v="2"/>
    <s v="Operations Officer"/>
    <x v="0"/>
    <n v="28"/>
    <n v="6778"/>
    <n v="4"/>
    <n v="2"/>
    <x v="0"/>
    <x v="2"/>
    <s v="Khaled Samir"/>
    <n v="81336"/>
    <s v="Under 30"/>
    <x v="0"/>
    <x v="0"/>
  </r>
  <r>
    <x v="464"/>
    <d v="2021-01-30T00:00:00"/>
    <x v="3"/>
    <s v="Content Creator"/>
    <x v="1"/>
    <n v="42"/>
    <n v="11508"/>
    <n v="7"/>
    <n v="3"/>
    <x v="0"/>
    <x v="0"/>
    <s v="Ahmed Hassan"/>
    <n v="138096"/>
    <s v="30-45"/>
    <x v="0"/>
    <x v="2"/>
  </r>
  <r>
    <x v="465"/>
    <d v="2012-04-19T00:00:00"/>
    <x v="0"/>
    <s v="Sales Executive"/>
    <x v="1"/>
    <n v="31"/>
    <n v="13081"/>
    <n v="7"/>
    <n v="1"/>
    <x v="1"/>
    <x v="0"/>
    <s v="Mona Ali"/>
    <n v="156972"/>
    <s v="30-45"/>
    <x v="0"/>
    <x v="0"/>
  </r>
  <r>
    <x v="466"/>
    <d v="2023-02-20T00:00:00"/>
    <x v="1"/>
    <s v="Financial Analyst"/>
    <x v="1"/>
    <n v="28"/>
    <n v="11808"/>
    <n v="8"/>
    <n v="4"/>
    <x v="1"/>
    <x v="1"/>
    <s v="Sara Adel"/>
    <n v="141696"/>
    <s v="Under 30"/>
    <x v="1"/>
    <x v="1"/>
  </r>
  <r>
    <x v="467"/>
    <d v="2013-04-26T00:00:00"/>
    <x v="4"/>
    <s v="Recruiter"/>
    <x v="1"/>
    <n v="28"/>
    <n v="4915"/>
    <n v="8"/>
    <n v="2"/>
    <x v="1"/>
    <x v="1"/>
    <s v="Ahmed Hassan"/>
    <n v="58980"/>
    <s v="Under 30"/>
    <x v="1"/>
    <x v="0"/>
  </r>
  <r>
    <x v="468"/>
    <d v="2022-06-20T00:00:00"/>
    <x v="1"/>
    <s v="Financial Analyst"/>
    <x v="1"/>
    <n v="45"/>
    <n v="7468"/>
    <n v="7"/>
    <n v="5"/>
    <x v="1"/>
    <x v="0"/>
    <s v="Youssef Mahmoud"/>
    <n v="89616"/>
    <s v="30-45"/>
    <x v="0"/>
    <x v="1"/>
  </r>
  <r>
    <x v="469"/>
    <d v="2016-04-07T00:00:00"/>
    <x v="4"/>
    <s v="Recruiter"/>
    <x v="0"/>
    <n v="49"/>
    <n v="7897"/>
    <n v="5"/>
    <n v="5"/>
    <x v="1"/>
    <x v="1"/>
    <s v="Sara Adel"/>
    <n v="94764"/>
    <s v="Above 45"/>
    <x v="0"/>
    <x v="1"/>
  </r>
  <r>
    <x v="470"/>
    <d v="2019-08-02T00:00:00"/>
    <x v="5"/>
    <s v="Software Engineer"/>
    <x v="1"/>
    <n v="38"/>
    <n v="8272"/>
    <n v="7"/>
    <n v="2"/>
    <x v="1"/>
    <x v="1"/>
    <s v="Mona Ali"/>
    <n v="99264"/>
    <s v="30-45"/>
    <x v="0"/>
    <x v="0"/>
  </r>
  <r>
    <x v="471"/>
    <d v="2011-03-05T00:00:00"/>
    <x v="1"/>
    <s v="Financial Analyst"/>
    <x v="0"/>
    <n v="22"/>
    <n v="18818"/>
    <n v="6"/>
    <n v="2"/>
    <x v="0"/>
    <x v="2"/>
    <s v="Khaled Samir"/>
    <n v="225816"/>
    <s v="Under 30"/>
    <x v="0"/>
    <x v="0"/>
  </r>
  <r>
    <x v="472"/>
    <d v="2010-07-20T00:00:00"/>
    <x v="2"/>
    <s v="Supply Chain Analyst"/>
    <x v="1"/>
    <n v="46"/>
    <n v="15249"/>
    <n v="5"/>
    <n v="5"/>
    <x v="1"/>
    <x v="0"/>
    <s v="Sara Adel"/>
    <n v="182988"/>
    <s v="Above 45"/>
    <x v="0"/>
    <x v="1"/>
  </r>
  <r>
    <x v="473"/>
    <d v="2023-07-05T00:00:00"/>
    <x v="2"/>
    <s v="Supply Chain Analyst"/>
    <x v="1"/>
    <n v="22"/>
    <n v="5791"/>
    <n v="4"/>
    <n v="1"/>
    <x v="0"/>
    <x v="2"/>
    <s v="Mona Ali"/>
    <n v="69492"/>
    <s v="Under 30"/>
    <x v="0"/>
    <x v="0"/>
  </r>
  <r>
    <x v="474"/>
    <d v="2021-08-19T00:00:00"/>
    <x v="0"/>
    <s v="Sales Executive"/>
    <x v="1"/>
    <n v="32"/>
    <n v="7233"/>
    <n v="1"/>
    <n v="5"/>
    <x v="1"/>
    <x v="0"/>
    <s v="Youssef Mahmoud"/>
    <n v="86796"/>
    <s v="30-45"/>
    <x v="2"/>
    <x v="1"/>
  </r>
  <r>
    <x v="475"/>
    <d v="2012-04-15T00:00:00"/>
    <x v="2"/>
    <s v="Supply Chain Analyst"/>
    <x v="0"/>
    <n v="29"/>
    <n v="19860"/>
    <n v="5"/>
    <n v="3"/>
    <x v="1"/>
    <x v="2"/>
    <s v="Mona Ali"/>
    <n v="238320"/>
    <s v="Under 30"/>
    <x v="0"/>
    <x v="2"/>
  </r>
  <r>
    <x v="476"/>
    <d v="2021-06-03T00:00:00"/>
    <x v="0"/>
    <s v="Sales Manager"/>
    <x v="0"/>
    <n v="52"/>
    <n v="9371"/>
    <n v="4"/>
    <n v="5"/>
    <x v="1"/>
    <x v="0"/>
    <s v="Ahmed Hassan"/>
    <n v="112452"/>
    <s v="Above 45"/>
    <x v="0"/>
    <x v="1"/>
  </r>
  <r>
    <x v="477"/>
    <d v="2021-02-17T00:00:00"/>
    <x v="2"/>
    <s v="Supply Chain Analyst"/>
    <x v="0"/>
    <n v="50"/>
    <n v="13549"/>
    <n v="5"/>
    <n v="5"/>
    <x v="1"/>
    <x v="1"/>
    <s v="Sara Adel"/>
    <n v="162588"/>
    <s v="Above 45"/>
    <x v="0"/>
    <x v="1"/>
  </r>
  <r>
    <x v="478"/>
    <d v="2012-05-13T00:00:00"/>
    <x v="5"/>
    <s v="Data Analyst"/>
    <x v="1"/>
    <n v="51"/>
    <n v="6147"/>
    <n v="11"/>
    <n v="4"/>
    <x v="1"/>
    <x v="1"/>
    <s v="Mona Ali"/>
    <n v="73764"/>
    <s v="Above 45"/>
    <x v="1"/>
    <x v="1"/>
  </r>
  <r>
    <x v="479"/>
    <d v="2023-02-22T00:00:00"/>
    <x v="0"/>
    <s v="Sales Manager"/>
    <x v="0"/>
    <n v="50"/>
    <n v="7651"/>
    <n v="0"/>
    <n v="4"/>
    <x v="0"/>
    <x v="0"/>
    <s v="Khaled Samir"/>
    <n v="91812"/>
    <s v="Above 45"/>
    <x v="2"/>
    <x v="1"/>
  </r>
  <r>
    <x v="480"/>
    <d v="2021-06-30T00:00:00"/>
    <x v="3"/>
    <s v="Marketing Specialist"/>
    <x v="0"/>
    <n v="29"/>
    <n v="14699"/>
    <n v="14"/>
    <n v="5"/>
    <x v="1"/>
    <x v="1"/>
    <s v="Youssef Mahmoud"/>
    <n v="176388"/>
    <s v="Under 30"/>
    <x v="1"/>
    <x v="1"/>
  </r>
  <r>
    <x v="481"/>
    <d v="2023-01-04T00:00:00"/>
    <x v="5"/>
    <s v="Data Analyst"/>
    <x v="0"/>
    <n v="51"/>
    <n v="16335"/>
    <n v="5"/>
    <n v="4"/>
    <x v="0"/>
    <x v="0"/>
    <s v="Khaled Samir"/>
    <n v="196020"/>
    <s v="Above 45"/>
    <x v="0"/>
    <x v="1"/>
  </r>
  <r>
    <x v="482"/>
    <d v="2011-06-26T00:00:00"/>
    <x v="2"/>
    <s v="Supply Chain Analyst"/>
    <x v="0"/>
    <n v="41"/>
    <n v="12187"/>
    <n v="15"/>
    <n v="1"/>
    <x v="0"/>
    <x v="0"/>
    <s v="Khaled Samir"/>
    <n v="146244"/>
    <s v="30-45"/>
    <x v="1"/>
    <x v="0"/>
  </r>
  <r>
    <x v="483"/>
    <d v="2015-01-20T00:00:00"/>
    <x v="3"/>
    <s v="Content Creator"/>
    <x v="0"/>
    <n v="26"/>
    <n v="5044"/>
    <n v="3"/>
    <n v="3"/>
    <x v="1"/>
    <x v="0"/>
    <s v="Sara Adel"/>
    <n v="60528"/>
    <s v="Under 30"/>
    <x v="0"/>
    <x v="2"/>
  </r>
  <r>
    <x v="484"/>
    <d v="2021-12-23T00:00:00"/>
    <x v="0"/>
    <s v="Sales Executive"/>
    <x v="0"/>
    <n v="22"/>
    <n v="6783"/>
    <n v="11"/>
    <n v="4"/>
    <x v="1"/>
    <x v="2"/>
    <s v="Ahmed Hassan"/>
    <n v="81396"/>
    <s v="Under 30"/>
    <x v="1"/>
    <x v="1"/>
  </r>
  <r>
    <x v="485"/>
    <d v="2021-01-03T00:00:00"/>
    <x v="3"/>
    <s v="Marketing Specialist"/>
    <x v="1"/>
    <n v="39"/>
    <n v="15711"/>
    <n v="11"/>
    <n v="2"/>
    <x v="0"/>
    <x v="0"/>
    <s v="Mona Ali"/>
    <n v="188532"/>
    <s v="30-45"/>
    <x v="1"/>
    <x v="0"/>
  </r>
  <r>
    <x v="486"/>
    <d v="2018-06-06T00:00:00"/>
    <x v="1"/>
    <s v="Financial Analyst"/>
    <x v="1"/>
    <n v="41"/>
    <n v="9501"/>
    <n v="4"/>
    <n v="3"/>
    <x v="1"/>
    <x v="1"/>
    <s v="Youssef Mahmoud"/>
    <n v="114012"/>
    <s v="30-45"/>
    <x v="0"/>
    <x v="2"/>
  </r>
  <r>
    <x v="487"/>
    <d v="2020-09-22T00:00:00"/>
    <x v="2"/>
    <s v="Operations Officer"/>
    <x v="0"/>
    <n v="41"/>
    <n v="9349"/>
    <n v="12"/>
    <n v="4"/>
    <x v="1"/>
    <x v="1"/>
    <s v="Sara Adel"/>
    <n v="112188"/>
    <s v="30-45"/>
    <x v="1"/>
    <x v="1"/>
  </r>
  <r>
    <x v="488"/>
    <d v="2016-09-29T00:00:00"/>
    <x v="1"/>
    <s v="Financial Analyst"/>
    <x v="1"/>
    <n v="60"/>
    <n v="4897"/>
    <n v="13"/>
    <n v="5"/>
    <x v="1"/>
    <x v="2"/>
    <s v="Khaled Samir"/>
    <n v="58764"/>
    <s v="Above 45"/>
    <x v="1"/>
    <x v="1"/>
  </r>
  <r>
    <x v="489"/>
    <d v="2015-04-20T00:00:00"/>
    <x v="3"/>
    <s v="Marketing Specialist"/>
    <x v="0"/>
    <n v="56"/>
    <n v="7244"/>
    <n v="13"/>
    <n v="1"/>
    <x v="1"/>
    <x v="0"/>
    <s v="Mona Ali"/>
    <n v="86928"/>
    <s v="Above 45"/>
    <x v="1"/>
    <x v="0"/>
  </r>
  <r>
    <x v="490"/>
    <d v="2015-05-22T00:00:00"/>
    <x v="0"/>
    <s v="Sales Executive"/>
    <x v="0"/>
    <n v="59"/>
    <n v="7279"/>
    <n v="12"/>
    <n v="4"/>
    <x v="1"/>
    <x v="1"/>
    <s v="Sara Adel"/>
    <n v="87348"/>
    <s v="Above 45"/>
    <x v="1"/>
    <x v="1"/>
  </r>
  <r>
    <x v="491"/>
    <d v="2012-08-24T00:00:00"/>
    <x v="1"/>
    <s v="Financial Analyst"/>
    <x v="0"/>
    <n v="42"/>
    <n v="13478"/>
    <n v="9"/>
    <n v="1"/>
    <x v="1"/>
    <x v="0"/>
    <s v="Ahmed Hassan"/>
    <n v="161736"/>
    <s v="30-45"/>
    <x v="1"/>
    <x v="0"/>
  </r>
  <r>
    <x v="492"/>
    <d v="2014-12-02T00:00:00"/>
    <x v="0"/>
    <s v="Sales Manager"/>
    <x v="1"/>
    <n v="51"/>
    <n v="8623"/>
    <n v="8"/>
    <n v="3"/>
    <x v="0"/>
    <x v="0"/>
    <s v="Ahmed Hassan"/>
    <n v="103476"/>
    <s v="Above 45"/>
    <x v="1"/>
    <x v="2"/>
  </r>
  <r>
    <x v="493"/>
    <d v="2023-04-29T00:00:00"/>
    <x v="0"/>
    <s v="Sales Manager"/>
    <x v="0"/>
    <n v="40"/>
    <n v="11185"/>
    <n v="14"/>
    <n v="4"/>
    <x v="0"/>
    <x v="1"/>
    <s v="Mona Ali"/>
    <n v="134220"/>
    <s v="30-45"/>
    <x v="1"/>
    <x v="1"/>
  </r>
  <r>
    <x v="494"/>
    <d v="2018-05-07T00:00:00"/>
    <x v="0"/>
    <s v="Sales Executive"/>
    <x v="0"/>
    <n v="31"/>
    <n v="12263"/>
    <n v="8"/>
    <n v="3"/>
    <x v="0"/>
    <x v="0"/>
    <s v="Ahmed Hassan"/>
    <n v="147156"/>
    <s v="30-45"/>
    <x v="1"/>
    <x v="2"/>
  </r>
  <r>
    <x v="495"/>
    <d v="2021-08-12T00:00:00"/>
    <x v="0"/>
    <s v="Sales Manager"/>
    <x v="1"/>
    <n v="31"/>
    <n v="10448"/>
    <n v="10"/>
    <n v="1"/>
    <x v="1"/>
    <x v="1"/>
    <s v="Ahmed Hassan"/>
    <n v="125376"/>
    <s v="30-45"/>
    <x v="1"/>
    <x v="0"/>
  </r>
  <r>
    <x v="496"/>
    <d v="2022-10-16T00:00:00"/>
    <x v="4"/>
    <s v="HR Executive"/>
    <x v="1"/>
    <n v="34"/>
    <n v="17738"/>
    <n v="0"/>
    <n v="4"/>
    <x v="0"/>
    <x v="1"/>
    <s v="Ahmed Hassan"/>
    <n v="212856"/>
    <s v="30-45"/>
    <x v="2"/>
    <x v="1"/>
  </r>
  <r>
    <x v="497"/>
    <d v="2021-07-17T00:00:00"/>
    <x v="5"/>
    <s v="IT Support"/>
    <x v="0"/>
    <n v="38"/>
    <n v="10439"/>
    <n v="6"/>
    <n v="3"/>
    <x v="1"/>
    <x v="1"/>
    <s v="Khaled Samir"/>
    <n v="125268"/>
    <s v="30-45"/>
    <x v="0"/>
    <x v="2"/>
  </r>
  <r>
    <x v="498"/>
    <d v="2014-07-24T00:00:00"/>
    <x v="2"/>
    <s v="Supply Chain Analyst"/>
    <x v="0"/>
    <n v="39"/>
    <n v="4932"/>
    <n v="4"/>
    <n v="1"/>
    <x v="0"/>
    <x v="2"/>
    <s v="Mona Ali"/>
    <n v="59184"/>
    <s v="30-45"/>
    <x v="0"/>
    <x v="0"/>
  </r>
  <r>
    <x v="499"/>
    <d v="2012-06-27T00:00:00"/>
    <x v="4"/>
    <s v="HR Executive"/>
    <x v="0"/>
    <n v="27"/>
    <n v="15440"/>
    <n v="6"/>
    <n v="3"/>
    <x v="1"/>
    <x v="2"/>
    <s v="Mona Ali"/>
    <n v="185280"/>
    <s v="Under 3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B316C9-7BA8-4BC9-898D-5EEAF525A56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6">
    <pivotField dataField="1" showAll="0"/>
    <pivotField numFmtId="14" showAll="0"/>
    <pivotField axis="axisRow"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EmployeeID" fld="0" subtotal="count"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E6B42D-C690-4836-80B8-DD97416A24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6">
    <pivotField showAll="0"/>
    <pivotField numFmtId="14" showAll="0"/>
    <pivotField axis="axisRow"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pivotField dataField="1" showAll="0"/>
    <pivotField showAll="0"/>
    <pivotField showAll="0"/>
    <pivotField showAll="0"/>
  </pivotFields>
  <rowFields count="1">
    <field x="2"/>
  </rowFields>
  <rowItems count="7">
    <i>
      <x/>
    </i>
    <i>
      <x v="1"/>
    </i>
    <i>
      <x v="2"/>
    </i>
    <i>
      <x v="3"/>
    </i>
    <i>
      <x v="4"/>
    </i>
    <i>
      <x v="5"/>
    </i>
    <i t="grand">
      <x/>
    </i>
  </rowItems>
  <colItems count="1">
    <i/>
  </colItems>
  <dataFields count="1">
    <dataField name="Average of Annual Salary" fld="12" subtotal="average" baseField="2" baseItem="0" numFmtId="165"/>
  </dataFields>
  <formats count="1">
    <format dxfId="9">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DB078D-7FE9-48DA-8186-B98B392617B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6">
    <pivotField dataField="1"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numFmtId="14" showAll="0"/>
    <pivotField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axis="axisRow" showAll="0">
      <items count="4">
        <item x="1"/>
        <item x="0"/>
        <item x="2"/>
        <item t="default"/>
      </items>
    </pivotField>
  </pivotFields>
  <rowFields count="1">
    <field x="15"/>
  </rowFields>
  <rowItems count="4">
    <i>
      <x/>
    </i>
    <i>
      <x v="1"/>
    </i>
    <i>
      <x v="2"/>
    </i>
    <i t="grand">
      <x/>
    </i>
  </rowItems>
  <colItems count="1">
    <i/>
  </colItems>
  <dataFields count="1">
    <dataField name="Count of EmployeeID" fld="0" subtotal="count" baseField="15"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94D096-AEFD-436B-8016-041DD2D776B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6">
    <pivotField dataField="1" showAll="0"/>
    <pivotField numFmtId="14" showAll="0"/>
    <pivotField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showAll="0">
      <items count="3">
        <item x="1"/>
        <item x="0"/>
        <item t="default"/>
      </items>
    </pivotField>
    <pivotField axis="axisRow" showAll="0">
      <items count="4">
        <item x="1"/>
        <item x="2"/>
        <item x="0"/>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ID" fld="0" subtotal="count" baseField="10" baseItem="0"/>
  </dataField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10" count="1" selected="0">
            <x v="0"/>
          </reference>
        </references>
      </pivotArea>
    </chartFormat>
    <chartFormat chart="6" format="15">
      <pivotArea type="data" outline="0" fieldPosition="0">
        <references count="2">
          <reference field="4294967294" count="1" selected="0">
            <x v="0"/>
          </reference>
          <reference field="10" count="1" selected="0">
            <x v="1"/>
          </reference>
        </references>
      </pivotArea>
    </chartFormat>
    <chartFormat chart="6" format="16">
      <pivotArea type="data" outline="0" fieldPosition="0">
        <references count="2">
          <reference field="4294967294" count="1" selected="0">
            <x v="0"/>
          </reference>
          <reference field="10" count="1" selected="0">
            <x v="2"/>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ADFD23-BCF0-4649-95FA-ADCBB776BC9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11" firstHeaderRow="1" firstDataRow="2" firstDataCol="1"/>
  <pivotFields count="16">
    <pivotField dataField="1" showAll="0"/>
    <pivotField numFmtId="14" showAll="0"/>
    <pivotField axis="axisRow"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axis="axisCol" showAll="0">
      <items count="3">
        <item x="1"/>
        <item x="0"/>
        <item t="default"/>
      </items>
    </pivotField>
    <pivotField showAll="0">
      <items count="4">
        <item x="1"/>
        <item x="2"/>
        <item x="0"/>
        <item t="default"/>
      </items>
    </pivotField>
    <pivotField showAll="0"/>
    <pivotField showAll="0"/>
    <pivotField showAll="0"/>
    <pivotField showAll="0"/>
    <pivotField showAll="0"/>
  </pivotFields>
  <rowFields count="1">
    <field x="2"/>
  </rowFields>
  <rowItems count="7">
    <i>
      <x/>
    </i>
    <i>
      <x v="1"/>
    </i>
    <i>
      <x v="2"/>
    </i>
    <i>
      <x v="3"/>
    </i>
    <i>
      <x v="4"/>
    </i>
    <i>
      <x v="5"/>
    </i>
    <i t="grand">
      <x/>
    </i>
  </rowItems>
  <colFields count="1">
    <field x="9"/>
  </colFields>
  <colItems count="3">
    <i>
      <x/>
    </i>
    <i>
      <x v="1"/>
    </i>
    <i t="grand">
      <x/>
    </i>
  </colItems>
  <dataFields count="1">
    <dataField name="Count of EmployeeID" fld="0" subtotal="count" baseField="2" baseItem="0"/>
  </dataField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AF3F33-E25F-44D9-BF42-2501404BEAD7}"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2:F26" firstHeaderRow="1" firstDataRow="1" firstDataCol="1"/>
  <pivotFields count="16">
    <pivotField showAll="0"/>
    <pivotField numFmtId="14" showAll="0"/>
    <pivotField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showAll="0">
      <items count="3">
        <item x="1"/>
        <item x="0"/>
        <item t="default"/>
      </items>
    </pivotField>
    <pivotField dataField="1" showAll="0">
      <items count="4">
        <item x="1"/>
        <item x="2"/>
        <item x="0"/>
        <item t="default"/>
      </items>
    </pivotField>
    <pivotField showAll="0"/>
    <pivotField showAll="0"/>
    <pivotField showAll="0"/>
    <pivotField axis="axisRow" showAll="0">
      <items count="4">
        <item x="2"/>
        <item x="0"/>
        <item x="1"/>
        <item t="default"/>
      </items>
    </pivotField>
    <pivotField showAll="0"/>
  </pivotFields>
  <rowFields count="1">
    <field x="14"/>
  </rowFields>
  <rowItems count="4">
    <i>
      <x/>
    </i>
    <i>
      <x v="1"/>
    </i>
    <i>
      <x v="2"/>
    </i>
    <i t="grand">
      <x/>
    </i>
  </rowItems>
  <colItems count="1">
    <i/>
  </colItems>
  <dataFields count="1">
    <dataField name="Count of WorkLocation" fld="1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A81754-17E7-4100-8E8A-12D219952ACE}"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3:D16" firstHeaderRow="1" firstDataRow="1" firstDataCol="1"/>
  <pivotFields count="16">
    <pivotField showAll="0"/>
    <pivotField numFmtId="14" showAll="0"/>
    <pivotField showAll="0">
      <items count="7">
        <item x="1"/>
        <item x="4"/>
        <item x="5"/>
        <item x="3"/>
        <item x="2"/>
        <item x="0"/>
        <item t="default"/>
      </items>
    </pivotField>
    <pivotField showAll="0"/>
    <pivotField showAll="0">
      <items count="3">
        <item x="1"/>
        <item x="0"/>
        <item t="default"/>
      </items>
    </pivotField>
    <pivotField showAll="0"/>
    <pivotField showAll="0"/>
    <pivotField showAll="0"/>
    <pivotField showAll="0"/>
    <pivotField axis="axisRow" showAll="0">
      <items count="3">
        <item x="1"/>
        <item x="0"/>
        <item t="default"/>
      </items>
    </pivotField>
    <pivotField dataField="1" showAll="0">
      <items count="4">
        <item x="1"/>
        <item x="2"/>
        <item x="0"/>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WorkLocation" fld="1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7F3709-2DB3-495F-BDF7-E963F708B0BF}"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6">
    <pivotField dataField="1" showAll="0"/>
    <pivotField numFmtId="14" showAll="0"/>
    <pivotField showAll="0">
      <items count="7">
        <item x="1"/>
        <item x="4"/>
        <item x="5"/>
        <item x="3"/>
        <item x="2"/>
        <item x="0"/>
        <item t="default"/>
      </items>
    </pivotField>
    <pivotField showAll="0"/>
    <pivotField showAll="0">
      <items count="3">
        <item x="1"/>
        <item x="0"/>
        <item t="default"/>
      </items>
    </pivotField>
    <pivotField showAll="0"/>
    <pivotField showAll="0"/>
    <pivotField showAll="0"/>
    <pivotField dataField="1" showAll="0"/>
    <pivotField showAll="0">
      <items count="3">
        <item x="1"/>
        <item x="0"/>
        <item t="default"/>
      </items>
    </pivotField>
    <pivotField showAll="0">
      <items count="4">
        <item x="1"/>
        <item x="2"/>
        <item x="0"/>
        <item t="default"/>
      </items>
    </pivotField>
    <pivotField showAll="0"/>
    <pivotField dataField="1" showAll="0"/>
    <pivotField showAll="0"/>
    <pivotField showAll="0"/>
    <pivotField showAll="0"/>
  </pivotFields>
  <rowItems count="1">
    <i/>
  </rowItems>
  <colFields count="1">
    <field x="-2"/>
  </colFields>
  <colItems count="3">
    <i>
      <x/>
    </i>
    <i i="1">
      <x v="1"/>
    </i>
    <i i="2">
      <x v="2"/>
    </i>
  </colItems>
  <dataFields count="3">
    <dataField name="Total Emloyees" fld="0" subtotal="count" baseField="0" baseItem="1"/>
    <dataField name="Average  Annual Salary" fld="12" subtotal="average" baseField="0" baseItem="1" numFmtId="165"/>
    <dataField name="Average Performance Rating" fld="8"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C1750C-A494-4C57-82B0-10833D1E7E90}" autoFormatId="16" applyNumberFormats="0" applyBorderFormats="0" applyFontFormats="0" applyPatternFormats="0" applyAlignmentFormats="0" applyWidthHeightFormats="0">
  <queryTableRefresh nextId="17">
    <queryTableFields count="16">
      <queryTableField id="1" name="EmployeeID" tableColumnId="15"/>
      <queryTableField id="2" name="HireDate" tableColumnId="2"/>
      <queryTableField id="3" name="Department" tableColumnId="3"/>
      <queryTableField id="4" name="JobRole" tableColumnId="4"/>
      <queryTableField id="5" name="Gender" tableColumnId="5"/>
      <queryTableField id="6" name="Age" tableColumnId="6"/>
      <queryTableField id="7" name="MonthlySalary" tableColumnId="7"/>
      <queryTableField id="8" name="YearsAtCompany" tableColumnId="8"/>
      <queryTableField id="9" name="PerformanceRating" tableColumnId="9"/>
      <queryTableField id="10" name="Overtime" tableColumnId="10"/>
      <queryTableField id="11" name="WorkLocation" tableColumnId="11"/>
      <queryTableField id="12" name="Manager" tableColumnId="12"/>
      <queryTableField id="13" name="Annual Salary" tableColumnId="13"/>
      <queryTableField id="14" name="Age Group" tableColumnId="14"/>
      <queryTableField id="15" name="Experience Level" tableColumnId="1"/>
      <queryTableField id="16" name="Performance Categor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17F5B54-E0C6-4CDC-817D-6B6132B69929}" sourceName="Department">
  <pivotTables>
    <pivotTable tabId="6" name="PivotTable18"/>
    <pivotTable tabId="4" name="PivotTable2"/>
    <pivotTable tabId="3" name="PivotTable1"/>
    <pivotTable tabId="8" name="PivotTable20"/>
    <pivotTable tabId="8" name="PivotTable21"/>
    <pivotTable tabId="8" name="PivotTable22"/>
    <pivotTable tabId="7" name="PivotTable19"/>
    <pivotTable tabId="5" name="PivotTable3"/>
  </pivotTables>
  <data>
    <tabular pivotCacheId="776121949">
      <items count="6">
        <i x="1" s="1"/>
        <i x="4" s="1"/>
        <i x="5"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45CA766-FA4D-4ABD-92CE-0B79ECB6106C}" sourceName="Gender">
  <pivotTables>
    <pivotTable tabId="7" name="PivotTable19"/>
    <pivotTable tabId="4" name="PivotTable2"/>
    <pivotTable tabId="6" name="PivotTable18"/>
    <pivotTable tabId="3" name="PivotTable1"/>
    <pivotTable tabId="8" name="PivotTable20"/>
    <pivotTable tabId="8" name="PivotTable21"/>
    <pivotTable tabId="8" name="PivotTable22"/>
    <pivotTable tabId="5" name="PivotTable3"/>
  </pivotTables>
  <data>
    <tabular pivotCacheId="77612194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7726FE2-5947-4E7D-8BE7-3E62F99A5F96}" sourceName="Overtime">
  <pivotTables>
    <pivotTable tabId="7" name="PivotTable19"/>
    <pivotTable tabId="4" name="PivotTable2"/>
    <pivotTable tabId="6" name="PivotTable18"/>
    <pivotTable tabId="3" name="PivotTable1"/>
    <pivotTable tabId="8" name="PivotTable20"/>
    <pivotTable tabId="8" name="PivotTable21"/>
    <pivotTable tabId="8" name="PivotTable22"/>
    <pivotTable tabId="5" name="PivotTable3"/>
  </pivotTables>
  <data>
    <tabular pivotCacheId="77612194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ocation" xr10:uid="{02D36603-8A38-4B28-989E-355E2605B39F}" sourceName="WorkLocation">
  <pivotTables>
    <pivotTable tabId="6" name="PivotTable18"/>
    <pivotTable tabId="4" name="PivotTable2"/>
    <pivotTable tabId="3" name="PivotTable1"/>
    <pivotTable tabId="8" name="PivotTable20"/>
    <pivotTable tabId="8" name="PivotTable21"/>
    <pivotTable tabId="8" name="PivotTable22"/>
    <pivotTable tabId="7" name="PivotTable19"/>
    <pivotTable tabId="5" name="PivotTable3"/>
  </pivotTables>
  <data>
    <tabular pivotCacheId="77612194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4DC04AD-8039-461F-A42C-0C606A174352}" cache="Slicer_Department" caption="Department" rowHeight="241300"/>
  <slicer name="WorkLocation" xr10:uid="{B62938FC-B4F7-4D6F-82AA-6CACBF09D992}" cache="Slicer_WorkLocation" caption="Work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DB5F0BB-E1BA-4534-9F44-E7376C75C2FD}" cache="Slicer_Gender" caption="Gender" rowHeight="241300"/>
  <slicer name="Overtime" xr10:uid="{D4E79A9B-1B7A-4207-9997-29B14E30646E}" cache="Slicer_Overtime" caption="Overti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841E481-06BB-463D-B888-D16BE88DC158}" cache="Slicer_Department" caption="Department" rowHeight="241300"/>
  <slicer name="Gender 1" xr10:uid="{C9C931FF-B4A7-442C-9F53-48EB6A3E941D}" cache="Slicer_Gender" caption="Gender" rowHeight="241300"/>
  <slicer name="Overtime 1" xr10:uid="{AA3C3DEE-D245-444C-9744-17B82D0BD442}" cache="Slicer_Overtime" caption="Overtime" rowHeight="241300"/>
  <slicer name="WorkLocation 1" xr10:uid="{60974CE9-98D8-49F1-9AA4-2CAFCAD10A75}" cache="Slicer_WorkLocation" caption="WorkLocatio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162EB1-FB17-4151-8246-0D84AA268AE3}" name="Table1" displayName="Table1" ref="A1:L501" totalsRowShown="0">
  <autoFilter ref="A1:L501" xr:uid="{C0162EB1-FB17-4151-8246-0D84AA268AE3}"/>
  <tableColumns count="12">
    <tableColumn id="1" xr3:uid="{DBA10AD3-370B-4C89-A383-8A2F4E8B44EA}" name="EmployeeID"/>
    <tableColumn id="2" xr3:uid="{C494108A-240C-440B-B6C6-22AC3B8A5033}" name="HireDate" dataDxfId="10"/>
    <tableColumn id="3" xr3:uid="{4CDD7546-0C25-4C0E-9ACE-0A98D54C5FF0}" name="Department"/>
    <tableColumn id="4" xr3:uid="{77CCD3DD-41D9-415D-93AC-A254FDFD025C}" name="JobRole"/>
    <tableColumn id="5" xr3:uid="{2A4EC652-B115-4016-A0ED-B277081A04BC}" name="Gender"/>
    <tableColumn id="6" xr3:uid="{C8462438-2644-4161-8972-08277480A178}" name="Age"/>
    <tableColumn id="7" xr3:uid="{36A2127C-9467-4C4E-B486-46990EE281CB}" name="MonthlySalary"/>
    <tableColumn id="8" xr3:uid="{9B98EB1F-4222-4779-A767-E32E6276213A}" name="YearsAtCompany"/>
    <tableColumn id="9" xr3:uid="{4E7DF5E6-DA1F-400F-BF23-678B860CF6CD}" name="PerformanceRating"/>
    <tableColumn id="10" xr3:uid="{9B023DB8-7FBD-4D40-8371-CE2C377EBE75}" name="Overtime"/>
    <tableColumn id="11" xr3:uid="{C351447D-2460-4E68-BD5F-9F715143AA13}" name="WorkLocation"/>
    <tableColumn id="12" xr3:uid="{D3738283-38CF-4C6C-A2D3-78F7B91E8DCC}" name="Manag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B1AD5-E7F7-4B49-85E5-09E811013BE9}" name="Table1_2" displayName="Table1_2" ref="A1:P501" tableType="queryTable" totalsRowShown="0">
  <autoFilter ref="A1:P501" xr:uid="{77DB1AD5-E7F7-4B49-85E5-09E811013BE9}"/>
  <tableColumns count="16">
    <tableColumn id="15" xr3:uid="{6607F65E-F499-4C15-A4B3-B70CCF5C4376}" uniqueName="15" name="EmployeeID" queryTableFieldId="1"/>
    <tableColumn id="2" xr3:uid="{AD1F5DE8-E1C3-456B-A64E-DD2863DE1B5D}" uniqueName="2" name="HireDate" queryTableFieldId="2" dataDxfId="8"/>
    <tableColumn id="3" xr3:uid="{768086A2-FEBA-445E-8459-81DDE2FE5352}" uniqueName="3" name="Department" queryTableFieldId="3" dataDxfId="7"/>
    <tableColumn id="4" xr3:uid="{C5B24F8F-74AA-4C23-B0DA-26F367747D27}" uniqueName="4" name="JobRole" queryTableFieldId="4" dataDxfId="6"/>
    <tableColumn id="5" xr3:uid="{396EB66E-84BD-4043-A4F3-25E335E05D0F}" uniqueName="5" name="Gender" queryTableFieldId="5" dataDxfId="5"/>
    <tableColumn id="6" xr3:uid="{4EEB4085-2993-4C03-892B-C4A2406C548B}" uniqueName="6" name="Age" queryTableFieldId="6"/>
    <tableColumn id="7" xr3:uid="{992E7664-89D4-4D03-958A-1B49A28EC558}" uniqueName="7" name="MonthlySalary" queryTableFieldId="7"/>
    <tableColumn id="8" xr3:uid="{D3845BB7-AB47-4937-AEA2-CE59D9F8A4B5}" uniqueName="8" name="YearsAtCompany" queryTableFieldId="8"/>
    <tableColumn id="9" xr3:uid="{242C585A-A7CE-43A6-9318-941B280FAEE4}" uniqueName="9" name="PerformanceRating" queryTableFieldId="9"/>
    <tableColumn id="10" xr3:uid="{2BF8994D-9ED7-4A87-85D4-457C503FCD48}" uniqueName="10" name="Overtime" queryTableFieldId="10" dataDxfId="4"/>
    <tableColumn id="11" xr3:uid="{020877B4-C0A4-449A-A758-4F4FFE51F524}" uniqueName="11" name="WorkLocation" queryTableFieldId="11" dataDxfId="3"/>
    <tableColumn id="12" xr3:uid="{8C952C97-EF89-4A99-9526-645348311A30}" uniqueName="12" name="Manager" queryTableFieldId="12" dataDxfId="2"/>
    <tableColumn id="13" xr3:uid="{0CD73679-A51F-43C2-9DDE-1DFBF84DA6BF}" uniqueName="13" name="Annual Salary" queryTableFieldId="13"/>
    <tableColumn id="14" xr3:uid="{0E31DF0F-5D0C-41FD-B20C-810CB47C1422}" uniqueName="14" name="Age Group" queryTableFieldId="14"/>
    <tableColumn id="1" xr3:uid="{9D9118A9-B997-4D5A-9304-43ECEF794277}" uniqueName="1" name="Experience Level" queryTableFieldId="15" dataDxfId="1"/>
    <tableColumn id="16" xr3:uid="{055F2F0D-17F6-482F-ADBE-0E6EAA7D2145}" uniqueName="16" name="Performance Category" queryTableFieldId="1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topLeftCell="H1" workbookViewId="0">
      <selection sqref="A1:L501"/>
    </sheetView>
  </sheetViews>
  <sheetFormatPr defaultRowHeight="14.25" x14ac:dyDescent="0.2"/>
  <cols>
    <col min="1" max="1" width="13.25" customWidth="1"/>
    <col min="2" max="2" width="30.5" customWidth="1"/>
    <col min="3" max="3" width="13.125" customWidth="1"/>
    <col min="4" max="4" width="10.125" customWidth="1"/>
    <col min="5" max="5" width="9.5" customWidth="1"/>
    <col min="7" max="7" width="15.125" customWidth="1"/>
    <col min="8" max="8" width="17.75" customWidth="1"/>
    <col min="9" max="9" width="19.875" customWidth="1"/>
    <col min="10" max="10" width="11" customWidth="1"/>
    <col min="11" max="11" width="14.875" customWidth="1"/>
    <col min="12" max="12" width="10.5" customWidth="1"/>
  </cols>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s="1">
        <v>42198</v>
      </c>
      <c r="C2" t="s">
        <v>12</v>
      </c>
      <c r="D2" t="s">
        <v>13</v>
      </c>
      <c r="E2" t="s">
        <v>14</v>
      </c>
      <c r="F2">
        <v>22</v>
      </c>
      <c r="G2">
        <v>16057</v>
      </c>
      <c r="H2">
        <v>7</v>
      </c>
      <c r="I2">
        <v>1</v>
      </c>
      <c r="J2" t="s">
        <v>15</v>
      </c>
      <c r="K2" t="s">
        <v>16</v>
      </c>
      <c r="L2" t="s">
        <v>17</v>
      </c>
    </row>
    <row r="3" spans="1:12" x14ac:dyDescent="0.2">
      <c r="A3">
        <v>2</v>
      </c>
      <c r="B3" s="1">
        <v>40596</v>
      </c>
      <c r="C3" t="s">
        <v>18</v>
      </c>
      <c r="D3" t="s">
        <v>19</v>
      </c>
      <c r="E3" t="s">
        <v>14</v>
      </c>
      <c r="F3">
        <v>36</v>
      </c>
      <c r="G3">
        <v>17387</v>
      </c>
      <c r="H3">
        <v>14</v>
      </c>
      <c r="I3">
        <v>2</v>
      </c>
      <c r="J3" t="s">
        <v>20</v>
      </c>
      <c r="K3" t="s">
        <v>16</v>
      </c>
      <c r="L3" t="s">
        <v>21</v>
      </c>
    </row>
    <row r="4" spans="1:12" x14ac:dyDescent="0.2">
      <c r="A4">
        <v>3</v>
      </c>
      <c r="B4" s="1">
        <v>41974</v>
      </c>
      <c r="C4" t="s">
        <v>22</v>
      </c>
      <c r="D4" t="s">
        <v>23</v>
      </c>
      <c r="E4" t="s">
        <v>24</v>
      </c>
      <c r="F4">
        <v>23</v>
      </c>
      <c r="G4">
        <v>8731</v>
      </c>
      <c r="H4">
        <v>4</v>
      </c>
      <c r="I4">
        <v>4</v>
      </c>
      <c r="J4" t="s">
        <v>15</v>
      </c>
      <c r="K4" t="s">
        <v>16</v>
      </c>
      <c r="L4" t="s">
        <v>25</v>
      </c>
    </row>
    <row r="5" spans="1:12" x14ac:dyDescent="0.2">
      <c r="A5">
        <v>4</v>
      </c>
      <c r="B5" s="1">
        <v>43340</v>
      </c>
      <c r="C5" t="s">
        <v>18</v>
      </c>
      <c r="D5" t="s">
        <v>26</v>
      </c>
      <c r="E5" t="s">
        <v>24</v>
      </c>
      <c r="F5">
        <v>26</v>
      </c>
      <c r="G5">
        <v>11380</v>
      </c>
      <c r="H5">
        <v>5</v>
      </c>
      <c r="I5">
        <v>2</v>
      </c>
      <c r="J5" t="s">
        <v>15</v>
      </c>
      <c r="K5" t="s">
        <v>27</v>
      </c>
      <c r="L5" t="s">
        <v>17</v>
      </c>
    </row>
    <row r="6" spans="1:12" x14ac:dyDescent="0.2">
      <c r="A6">
        <v>5</v>
      </c>
      <c r="B6" s="1">
        <v>44833</v>
      </c>
      <c r="C6" t="s">
        <v>28</v>
      </c>
      <c r="D6" t="s">
        <v>29</v>
      </c>
      <c r="E6" t="s">
        <v>14</v>
      </c>
      <c r="F6">
        <v>55</v>
      </c>
      <c r="G6">
        <v>16289</v>
      </c>
      <c r="H6">
        <v>15</v>
      </c>
      <c r="I6">
        <v>5</v>
      </c>
      <c r="J6" t="s">
        <v>15</v>
      </c>
      <c r="K6" t="s">
        <v>27</v>
      </c>
      <c r="L6" t="s">
        <v>17</v>
      </c>
    </row>
    <row r="7" spans="1:12" x14ac:dyDescent="0.2">
      <c r="A7">
        <v>6</v>
      </c>
      <c r="B7" s="1">
        <v>44548</v>
      </c>
      <c r="C7" t="s">
        <v>30</v>
      </c>
      <c r="D7" t="s">
        <v>31</v>
      </c>
      <c r="E7" t="s">
        <v>24</v>
      </c>
      <c r="F7">
        <v>54</v>
      </c>
      <c r="G7">
        <v>12162</v>
      </c>
      <c r="H7">
        <v>4</v>
      </c>
      <c r="I7">
        <v>1</v>
      </c>
      <c r="J7" t="s">
        <v>20</v>
      </c>
      <c r="K7" t="s">
        <v>32</v>
      </c>
      <c r="L7" t="s">
        <v>17</v>
      </c>
    </row>
    <row r="8" spans="1:12" x14ac:dyDescent="0.2">
      <c r="A8">
        <v>7</v>
      </c>
      <c r="B8" s="1">
        <v>43466</v>
      </c>
      <c r="C8" t="s">
        <v>28</v>
      </c>
      <c r="D8" t="s">
        <v>33</v>
      </c>
      <c r="E8" t="s">
        <v>14</v>
      </c>
      <c r="F8">
        <v>59</v>
      </c>
      <c r="G8">
        <v>4448</v>
      </c>
      <c r="H8">
        <v>2</v>
      </c>
      <c r="I8">
        <v>1</v>
      </c>
      <c r="J8" t="s">
        <v>20</v>
      </c>
      <c r="K8" t="s">
        <v>16</v>
      </c>
      <c r="L8" t="s">
        <v>17</v>
      </c>
    </row>
    <row r="9" spans="1:12" x14ac:dyDescent="0.2">
      <c r="A9">
        <v>8</v>
      </c>
      <c r="B9" s="1">
        <v>42430</v>
      </c>
      <c r="C9" t="s">
        <v>22</v>
      </c>
      <c r="D9" t="s">
        <v>23</v>
      </c>
      <c r="E9" t="s">
        <v>24</v>
      </c>
      <c r="F9">
        <v>51</v>
      </c>
      <c r="G9">
        <v>5927</v>
      </c>
      <c r="H9">
        <v>11</v>
      </c>
      <c r="I9">
        <v>2</v>
      </c>
      <c r="J9" t="s">
        <v>20</v>
      </c>
      <c r="K9" t="s">
        <v>27</v>
      </c>
      <c r="L9" t="s">
        <v>21</v>
      </c>
    </row>
    <row r="10" spans="1:12" x14ac:dyDescent="0.2">
      <c r="A10">
        <v>9</v>
      </c>
      <c r="B10" s="1">
        <v>44892</v>
      </c>
      <c r="C10" t="s">
        <v>28</v>
      </c>
      <c r="D10" t="s">
        <v>33</v>
      </c>
      <c r="E10" t="s">
        <v>14</v>
      </c>
      <c r="F10">
        <v>50</v>
      </c>
      <c r="G10">
        <v>10137</v>
      </c>
      <c r="H10">
        <v>0</v>
      </c>
      <c r="I10">
        <v>4</v>
      </c>
      <c r="J10" t="s">
        <v>20</v>
      </c>
      <c r="K10" t="s">
        <v>32</v>
      </c>
      <c r="L10" t="s">
        <v>34</v>
      </c>
    </row>
    <row r="11" spans="1:12" x14ac:dyDescent="0.2">
      <c r="A11">
        <v>10</v>
      </c>
      <c r="B11" s="1">
        <v>41103</v>
      </c>
      <c r="C11" t="s">
        <v>22</v>
      </c>
      <c r="D11" t="s">
        <v>35</v>
      </c>
      <c r="E11" t="s">
        <v>14</v>
      </c>
      <c r="F11">
        <v>26</v>
      </c>
      <c r="G11">
        <v>16303</v>
      </c>
      <c r="H11">
        <v>0</v>
      </c>
      <c r="I11">
        <v>5</v>
      </c>
      <c r="J11" t="s">
        <v>20</v>
      </c>
      <c r="K11" t="s">
        <v>27</v>
      </c>
      <c r="L11" t="s">
        <v>17</v>
      </c>
    </row>
    <row r="12" spans="1:12" x14ac:dyDescent="0.2">
      <c r="A12">
        <v>11</v>
      </c>
      <c r="B12" s="1">
        <v>45048</v>
      </c>
      <c r="C12" t="s">
        <v>12</v>
      </c>
      <c r="D12" t="s">
        <v>13</v>
      </c>
      <c r="E12" t="s">
        <v>14</v>
      </c>
      <c r="F12">
        <v>27</v>
      </c>
      <c r="G12">
        <v>9012</v>
      </c>
      <c r="H12">
        <v>0</v>
      </c>
      <c r="I12">
        <v>1</v>
      </c>
      <c r="J12" t="s">
        <v>15</v>
      </c>
      <c r="K12" t="s">
        <v>16</v>
      </c>
      <c r="L12" t="s">
        <v>21</v>
      </c>
    </row>
    <row r="13" spans="1:12" x14ac:dyDescent="0.2">
      <c r="A13">
        <v>12</v>
      </c>
      <c r="B13" s="1">
        <v>42114</v>
      </c>
      <c r="C13" t="s">
        <v>22</v>
      </c>
      <c r="D13" t="s">
        <v>35</v>
      </c>
      <c r="E13" t="s">
        <v>24</v>
      </c>
      <c r="F13">
        <v>24</v>
      </c>
      <c r="G13">
        <v>15012</v>
      </c>
      <c r="H13">
        <v>14</v>
      </c>
      <c r="I13">
        <v>1</v>
      </c>
      <c r="J13" t="s">
        <v>20</v>
      </c>
      <c r="K13" t="s">
        <v>16</v>
      </c>
      <c r="L13" t="s">
        <v>17</v>
      </c>
    </row>
    <row r="14" spans="1:12" x14ac:dyDescent="0.2">
      <c r="A14">
        <v>13</v>
      </c>
      <c r="B14" s="1">
        <v>43330</v>
      </c>
      <c r="C14" t="s">
        <v>18</v>
      </c>
      <c r="D14" t="s">
        <v>26</v>
      </c>
      <c r="E14" t="s">
        <v>14</v>
      </c>
      <c r="F14">
        <v>42</v>
      </c>
      <c r="G14">
        <v>12305</v>
      </c>
      <c r="H14">
        <v>3</v>
      </c>
      <c r="I14">
        <v>4</v>
      </c>
      <c r="J14" t="s">
        <v>15</v>
      </c>
      <c r="K14" t="s">
        <v>32</v>
      </c>
      <c r="L14" t="s">
        <v>25</v>
      </c>
    </row>
    <row r="15" spans="1:12" x14ac:dyDescent="0.2">
      <c r="A15">
        <v>14</v>
      </c>
      <c r="B15" s="1">
        <v>42144</v>
      </c>
      <c r="C15" t="s">
        <v>28</v>
      </c>
      <c r="D15" t="s">
        <v>29</v>
      </c>
      <c r="E15" t="s">
        <v>14</v>
      </c>
      <c r="F15">
        <v>41</v>
      </c>
      <c r="G15">
        <v>5545</v>
      </c>
      <c r="H15">
        <v>13</v>
      </c>
      <c r="I15">
        <v>5</v>
      </c>
      <c r="J15" t="s">
        <v>20</v>
      </c>
      <c r="K15" t="s">
        <v>27</v>
      </c>
      <c r="L15" t="s">
        <v>34</v>
      </c>
    </row>
    <row r="16" spans="1:12" x14ac:dyDescent="0.2">
      <c r="A16">
        <v>15</v>
      </c>
      <c r="B16" s="1">
        <v>43753</v>
      </c>
      <c r="C16" t="s">
        <v>36</v>
      </c>
      <c r="D16" t="s">
        <v>37</v>
      </c>
      <c r="E16" t="s">
        <v>24</v>
      </c>
      <c r="F16">
        <v>46</v>
      </c>
      <c r="G16">
        <v>5189</v>
      </c>
      <c r="H16">
        <v>10</v>
      </c>
      <c r="I16">
        <v>3</v>
      </c>
      <c r="J16" t="s">
        <v>20</v>
      </c>
      <c r="K16" t="s">
        <v>16</v>
      </c>
      <c r="L16" t="s">
        <v>21</v>
      </c>
    </row>
    <row r="17" spans="1:12" x14ac:dyDescent="0.2">
      <c r="A17">
        <v>16</v>
      </c>
      <c r="B17" s="1">
        <v>43652</v>
      </c>
      <c r="C17" t="s">
        <v>12</v>
      </c>
      <c r="D17" t="s">
        <v>13</v>
      </c>
      <c r="E17" t="s">
        <v>24</v>
      </c>
      <c r="F17">
        <v>43</v>
      </c>
      <c r="G17">
        <v>17648</v>
      </c>
      <c r="H17">
        <v>15</v>
      </c>
      <c r="I17">
        <v>1</v>
      </c>
      <c r="J17" t="s">
        <v>15</v>
      </c>
      <c r="K17" t="s">
        <v>32</v>
      </c>
      <c r="L17" t="s">
        <v>21</v>
      </c>
    </row>
    <row r="18" spans="1:12" x14ac:dyDescent="0.2">
      <c r="A18">
        <v>17</v>
      </c>
      <c r="B18" s="1">
        <v>43924</v>
      </c>
      <c r="C18" t="s">
        <v>30</v>
      </c>
      <c r="D18" t="s">
        <v>38</v>
      </c>
      <c r="E18" t="s">
        <v>14</v>
      </c>
      <c r="F18">
        <v>41</v>
      </c>
      <c r="G18">
        <v>17695</v>
      </c>
      <c r="H18">
        <v>8</v>
      </c>
      <c r="I18">
        <v>1</v>
      </c>
      <c r="J18" t="s">
        <v>15</v>
      </c>
      <c r="K18" t="s">
        <v>27</v>
      </c>
      <c r="L18" t="s">
        <v>34</v>
      </c>
    </row>
    <row r="19" spans="1:12" x14ac:dyDescent="0.2">
      <c r="A19">
        <v>18</v>
      </c>
      <c r="B19" s="1">
        <v>44236</v>
      </c>
      <c r="C19" t="s">
        <v>30</v>
      </c>
      <c r="D19" t="s">
        <v>38</v>
      </c>
      <c r="E19" t="s">
        <v>24</v>
      </c>
      <c r="F19">
        <v>37</v>
      </c>
      <c r="G19">
        <v>12562</v>
      </c>
      <c r="H19">
        <v>5</v>
      </c>
      <c r="I19">
        <v>4</v>
      </c>
      <c r="J19" t="s">
        <v>20</v>
      </c>
      <c r="K19" t="s">
        <v>16</v>
      </c>
      <c r="L19" t="s">
        <v>39</v>
      </c>
    </row>
    <row r="20" spans="1:12" x14ac:dyDescent="0.2">
      <c r="A20">
        <v>19</v>
      </c>
      <c r="B20" s="1">
        <v>43332</v>
      </c>
      <c r="C20" t="s">
        <v>22</v>
      </c>
      <c r="D20" t="s">
        <v>35</v>
      </c>
      <c r="E20" t="s">
        <v>24</v>
      </c>
      <c r="F20">
        <v>56</v>
      </c>
      <c r="G20">
        <v>15214</v>
      </c>
      <c r="H20">
        <v>13</v>
      </c>
      <c r="I20">
        <v>2</v>
      </c>
      <c r="J20" t="s">
        <v>20</v>
      </c>
      <c r="K20" t="s">
        <v>16</v>
      </c>
      <c r="L20" t="s">
        <v>21</v>
      </c>
    </row>
    <row r="21" spans="1:12" x14ac:dyDescent="0.2">
      <c r="A21">
        <v>20</v>
      </c>
      <c r="B21" s="1">
        <v>40757</v>
      </c>
      <c r="C21" t="s">
        <v>18</v>
      </c>
      <c r="D21" t="s">
        <v>19</v>
      </c>
      <c r="E21" t="s">
        <v>14</v>
      </c>
      <c r="F21">
        <v>41</v>
      </c>
      <c r="G21">
        <v>9797</v>
      </c>
      <c r="H21">
        <v>3</v>
      </c>
      <c r="I21">
        <v>4</v>
      </c>
      <c r="J21" t="s">
        <v>15</v>
      </c>
      <c r="K21" t="s">
        <v>16</v>
      </c>
      <c r="L21" t="s">
        <v>39</v>
      </c>
    </row>
    <row r="22" spans="1:12" x14ac:dyDescent="0.2">
      <c r="A22">
        <v>21</v>
      </c>
      <c r="B22" s="1">
        <v>43232</v>
      </c>
      <c r="C22" t="s">
        <v>12</v>
      </c>
      <c r="D22" t="s">
        <v>13</v>
      </c>
      <c r="E22" t="s">
        <v>14</v>
      </c>
      <c r="F22">
        <v>38</v>
      </c>
      <c r="G22">
        <v>14850</v>
      </c>
      <c r="H22">
        <v>15</v>
      </c>
      <c r="I22">
        <v>4</v>
      </c>
      <c r="J22" t="s">
        <v>15</v>
      </c>
      <c r="K22" t="s">
        <v>32</v>
      </c>
      <c r="L22" t="s">
        <v>17</v>
      </c>
    </row>
    <row r="23" spans="1:12" x14ac:dyDescent="0.2">
      <c r="A23">
        <v>22</v>
      </c>
      <c r="B23" s="1">
        <v>44016</v>
      </c>
      <c r="C23" t="s">
        <v>18</v>
      </c>
      <c r="D23" t="s">
        <v>19</v>
      </c>
      <c r="E23" t="s">
        <v>24</v>
      </c>
      <c r="F23">
        <v>44</v>
      </c>
      <c r="G23">
        <v>9208</v>
      </c>
      <c r="H23">
        <v>5</v>
      </c>
      <c r="I23">
        <v>5</v>
      </c>
      <c r="J23" t="s">
        <v>20</v>
      </c>
      <c r="K23" t="s">
        <v>16</v>
      </c>
      <c r="L23" t="s">
        <v>21</v>
      </c>
    </row>
    <row r="24" spans="1:12" x14ac:dyDescent="0.2">
      <c r="A24">
        <v>23</v>
      </c>
      <c r="B24" s="1">
        <v>41786</v>
      </c>
      <c r="C24" t="s">
        <v>36</v>
      </c>
      <c r="D24" t="s">
        <v>40</v>
      </c>
      <c r="E24" t="s">
        <v>24</v>
      </c>
      <c r="F24">
        <v>57</v>
      </c>
      <c r="G24">
        <v>16017</v>
      </c>
      <c r="H24">
        <v>2</v>
      </c>
      <c r="I24">
        <v>3</v>
      </c>
      <c r="J24" t="s">
        <v>15</v>
      </c>
      <c r="K24" t="s">
        <v>16</v>
      </c>
      <c r="L24" t="s">
        <v>17</v>
      </c>
    </row>
    <row r="25" spans="1:12" x14ac:dyDescent="0.2">
      <c r="A25">
        <v>24</v>
      </c>
      <c r="B25" s="1">
        <v>43643</v>
      </c>
      <c r="C25" t="s">
        <v>18</v>
      </c>
      <c r="D25" t="s">
        <v>19</v>
      </c>
      <c r="E25" t="s">
        <v>14</v>
      </c>
      <c r="F25">
        <v>41</v>
      </c>
      <c r="G25">
        <v>14197</v>
      </c>
      <c r="H25">
        <v>9</v>
      </c>
      <c r="I25">
        <v>4</v>
      </c>
      <c r="J25" t="s">
        <v>15</v>
      </c>
      <c r="K25" t="s">
        <v>16</v>
      </c>
      <c r="L25" t="s">
        <v>17</v>
      </c>
    </row>
    <row r="26" spans="1:12" x14ac:dyDescent="0.2">
      <c r="A26">
        <v>25</v>
      </c>
      <c r="B26" s="1">
        <v>40734</v>
      </c>
      <c r="C26" t="s">
        <v>12</v>
      </c>
      <c r="D26" t="s">
        <v>13</v>
      </c>
      <c r="E26" t="s">
        <v>24</v>
      </c>
      <c r="F26">
        <v>24</v>
      </c>
      <c r="G26">
        <v>12854</v>
      </c>
      <c r="H26">
        <v>2</v>
      </c>
      <c r="I26">
        <v>4</v>
      </c>
      <c r="J26" t="s">
        <v>15</v>
      </c>
      <c r="K26" t="s">
        <v>16</v>
      </c>
      <c r="L26" t="s">
        <v>25</v>
      </c>
    </row>
    <row r="27" spans="1:12" x14ac:dyDescent="0.2">
      <c r="A27">
        <v>26</v>
      </c>
      <c r="B27" s="1">
        <v>41773</v>
      </c>
      <c r="C27" t="s">
        <v>12</v>
      </c>
      <c r="D27" t="s">
        <v>41</v>
      </c>
      <c r="E27" t="s">
        <v>24</v>
      </c>
      <c r="F27">
        <v>28</v>
      </c>
      <c r="G27">
        <v>7208</v>
      </c>
      <c r="H27">
        <v>2</v>
      </c>
      <c r="I27">
        <v>4</v>
      </c>
      <c r="J27" t="s">
        <v>15</v>
      </c>
      <c r="K27" t="s">
        <v>16</v>
      </c>
      <c r="L27" t="s">
        <v>25</v>
      </c>
    </row>
    <row r="28" spans="1:12" x14ac:dyDescent="0.2">
      <c r="A28">
        <v>27</v>
      </c>
      <c r="B28" s="1">
        <v>44154</v>
      </c>
      <c r="C28" t="s">
        <v>22</v>
      </c>
      <c r="D28" t="s">
        <v>23</v>
      </c>
      <c r="E28" t="s">
        <v>24</v>
      </c>
      <c r="F28">
        <v>36</v>
      </c>
      <c r="G28">
        <v>10809</v>
      </c>
      <c r="H28">
        <v>4</v>
      </c>
      <c r="I28">
        <v>4</v>
      </c>
      <c r="J28" t="s">
        <v>20</v>
      </c>
      <c r="K28" t="s">
        <v>16</v>
      </c>
      <c r="L28" t="s">
        <v>39</v>
      </c>
    </row>
    <row r="29" spans="1:12" x14ac:dyDescent="0.2">
      <c r="A29">
        <v>28</v>
      </c>
      <c r="B29" s="1">
        <v>42148</v>
      </c>
      <c r="C29" t="s">
        <v>12</v>
      </c>
      <c r="D29" t="s">
        <v>13</v>
      </c>
      <c r="E29" t="s">
        <v>14</v>
      </c>
      <c r="F29">
        <v>33</v>
      </c>
      <c r="G29">
        <v>6269</v>
      </c>
      <c r="H29">
        <v>15</v>
      </c>
      <c r="I29">
        <v>5</v>
      </c>
      <c r="J29" t="s">
        <v>20</v>
      </c>
      <c r="K29" t="s">
        <v>27</v>
      </c>
      <c r="L29" t="s">
        <v>39</v>
      </c>
    </row>
    <row r="30" spans="1:12" x14ac:dyDescent="0.2">
      <c r="A30">
        <v>29</v>
      </c>
      <c r="B30" s="1">
        <v>44872</v>
      </c>
      <c r="C30" t="s">
        <v>22</v>
      </c>
      <c r="D30" t="s">
        <v>35</v>
      </c>
      <c r="E30" t="s">
        <v>14</v>
      </c>
      <c r="F30">
        <v>26</v>
      </c>
      <c r="G30">
        <v>17810</v>
      </c>
      <c r="H30">
        <v>1</v>
      </c>
      <c r="I30">
        <v>1</v>
      </c>
      <c r="J30" t="s">
        <v>20</v>
      </c>
      <c r="K30" t="s">
        <v>16</v>
      </c>
      <c r="L30" t="s">
        <v>34</v>
      </c>
    </row>
    <row r="31" spans="1:12" x14ac:dyDescent="0.2">
      <c r="A31">
        <v>30</v>
      </c>
      <c r="B31" s="1">
        <v>44579</v>
      </c>
      <c r="C31" t="s">
        <v>30</v>
      </c>
      <c r="D31" t="s">
        <v>31</v>
      </c>
      <c r="E31" t="s">
        <v>14</v>
      </c>
      <c r="F31">
        <v>34</v>
      </c>
      <c r="G31">
        <v>18565</v>
      </c>
      <c r="H31">
        <v>13</v>
      </c>
      <c r="I31">
        <v>3</v>
      </c>
      <c r="J31" t="s">
        <v>15</v>
      </c>
      <c r="K31" t="s">
        <v>32</v>
      </c>
      <c r="L31" t="s">
        <v>25</v>
      </c>
    </row>
    <row r="32" spans="1:12" x14ac:dyDescent="0.2">
      <c r="A32">
        <v>31</v>
      </c>
      <c r="B32" s="1">
        <v>40875</v>
      </c>
      <c r="C32" t="s">
        <v>28</v>
      </c>
      <c r="D32" t="s">
        <v>29</v>
      </c>
      <c r="E32" t="s">
        <v>14</v>
      </c>
      <c r="F32">
        <v>37</v>
      </c>
      <c r="G32">
        <v>13888</v>
      </c>
      <c r="H32">
        <v>7</v>
      </c>
      <c r="I32">
        <v>3</v>
      </c>
      <c r="J32" t="s">
        <v>20</v>
      </c>
      <c r="K32" t="s">
        <v>32</v>
      </c>
      <c r="L32" t="s">
        <v>39</v>
      </c>
    </row>
    <row r="33" spans="1:12" x14ac:dyDescent="0.2">
      <c r="A33">
        <v>32</v>
      </c>
      <c r="B33" s="1">
        <v>42450</v>
      </c>
      <c r="C33" t="s">
        <v>18</v>
      </c>
      <c r="D33" t="s">
        <v>26</v>
      </c>
      <c r="E33" t="s">
        <v>14</v>
      </c>
      <c r="F33">
        <v>49</v>
      </c>
      <c r="G33">
        <v>19157</v>
      </c>
      <c r="H33">
        <v>13</v>
      </c>
      <c r="I33">
        <v>5</v>
      </c>
      <c r="J33" t="s">
        <v>20</v>
      </c>
      <c r="K33" t="s">
        <v>27</v>
      </c>
      <c r="L33" t="s">
        <v>39</v>
      </c>
    </row>
    <row r="34" spans="1:12" x14ac:dyDescent="0.2">
      <c r="A34">
        <v>33</v>
      </c>
      <c r="B34" s="1">
        <v>44828</v>
      </c>
      <c r="C34" t="s">
        <v>28</v>
      </c>
      <c r="D34" t="s">
        <v>29</v>
      </c>
      <c r="E34" t="s">
        <v>24</v>
      </c>
      <c r="F34">
        <v>44</v>
      </c>
      <c r="G34">
        <v>4897</v>
      </c>
      <c r="H34">
        <v>11</v>
      </c>
      <c r="I34">
        <v>3</v>
      </c>
      <c r="J34" t="s">
        <v>20</v>
      </c>
      <c r="K34" t="s">
        <v>16</v>
      </c>
      <c r="L34" t="s">
        <v>21</v>
      </c>
    </row>
    <row r="35" spans="1:12" x14ac:dyDescent="0.2">
      <c r="A35">
        <v>34</v>
      </c>
      <c r="B35" s="1">
        <v>44531</v>
      </c>
      <c r="C35" t="s">
        <v>36</v>
      </c>
      <c r="D35" t="s">
        <v>40</v>
      </c>
      <c r="E35" t="s">
        <v>14</v>
      </c>
      <c r="F35">
        <v>46</v>
      </c>
      <c r="G35">
        <v>17399</v>
      </c>
      <c r="H35">
        <v>6</v>
      </c>
      <c r="I35">
        <v>5</v>
      </c>
      <c r="J35" t="s">
        <v>15</v>
      </c>
      <c r="K35" t="s">
        <v>16</v>
      </c>
      <c r="L35" t="s">
        <v>25</v>
      </c>
    </row>
    <row r="36" spans="1:12" x14ac:dyDescent="0.2">
      <c r="A36">
        <v>35</v>
      </c>
      <c r="B36" s="1">
        <v>41726</v>
      </c>
      <c r="C36" t="s">
        <v>18</v>
      </c>
      <c r="D36" t="s">
        <v>19</v>
      </c>
      <c r="E36" t="s">
        <v>24</v>
      </c>
      <c r="F36">
        <v>26</v>
      </c>
      <c r="G36">
        <v>13262</v>
      </c>
      <c r="H36">
        <v>3</v>
      </c>
      <c r="I36">
        <v>4</v>
      </c>
      <c r="J36" t="s">
        <v>20</v>
      </c>
      <c r="K36" t="s">
        <v>32</v>
      </c>
      <c r="L36" t="s">
        <v>17</v>
      </c>
    </row>
    <row r="37" spans="1:12" x14ac:dyDescent="0.2">
      <c r="A37">
        <v>36</v>
      </c>
      <c r="B37" s="1">
        <v>40349</v>
      </c>
      <c r="C37" t="s">
        <v>12</v>
      </c>
      <c r="D37" t="s">
        <v>41</v>
      </c>
      <c r="E37" t="s">
        <v>24</v>
      </c>
      <c r="F37">
        <v>27</v>
      </c>
      <c r="G37">
        <v>11965</v>
      </c>
      <c r="H37">
        <v>12</v>
      </c>
      <c r="I37">
        <v>4</v>
      </c>
      <c r="J37" t="s">
        <v>20</v>
      </c>
      <c r="K37" t="s">
        <v>27</v>
      </c>
      <c r="L37" t="s">
        <v>39</v>
      </c>
    </row>
    <row r="38" spans="1:12" x14ac:dyDescent="0.2">
      <c r="A38">
        <v>37</v>
      </c>
      <c r="B38" s="1">
        <v>40706</v>
      </c>
      <c r="C38" t="s">
        <v>18</v>
      </c>
      <c r="D38" t="s">
        <v>19</v>
      </c>
      <c r="E38" t="s">
        <v>14</v>
      </c>
      <c r="F38">
        <v>30</v>
      </c>
      <c r="G38">
        <v>5323</v>
      </c>
      <c r="H38">
        <v>1</v>
      </c>
      <c r="I38">
        <v>4</v>
      </c>
      <c r="J38" t="s">
        <v>20</v>
      </c>
      <c r="K38" t="s">
        <v>16</v>
      </c>
      <c r="L38" t="s">
        <v>17</v>
      </c>
    </row>
    <row r="39" spans="1:12" x14ac:dyDescent="0.2">
      <c r="A39">
        <v>38</v>
      </c>
      <c r="B39" s="1">
        <v>43788</v>
      </c>
      <c r="C39" t="s">
        <v>22</v>
      </c>
      <c r="D39" t="s">
        <v>23</v>
      </c>
      <c r="E39" t="s">
        <v>14</v>
      </c>
      <c r="F39">
        <v>30</v>
      </c>
      <c r="G39">
        <v>13882</v>
      </c>
      <c r="H39">
        <v>13</v>
      </c>
      <c r="I39">
        <v>4</v>
      </c>
      <c r="J39" t="s">
        <v>15</v>
      </c>
      <c r="K39" t="s">
        <v>27</v>
      </c>
      <c r="L39" t="s">
        <v>25</v>
      </c>
    </row>
    <row r="40" spans="1:12" x14ac:dyDescent="0.2">
      <c r="A40">
        <v>39</v>
      </c>
      <c r="B40" s="1">
        <v>42362</v>
      </c>
      <c r="C40" t="s">
        <v>30</v>
      </c>
      <c r="D40" t="s">
        <v>31</v>
      </c>
      <c r="E40" t="s">
        <v>24</v>
      </c>
      <c r="F40">
        <v>37</v>
      </c>
      <c r="G40">
        <v>8738</v>
      </c>
      <c r="H40">
        <v>4</v>
      </c>
      <c r="I40">
        <v>5</v>
      </c>
      <c r="J40" t="s">
        <v>20</v>
      </c>
      <c r="K40" t="s">
        <v>27</v>
      </c>
      <c r="L40" t="s">
        <v>21</v>
      </c>
    </row>
    <row r="41" spans="1:12" x14ac:dyDescent="0.2">
      <c r="A41">
        <v>40</v>
      </c>
      <c r="B41" s="1">
        <v>44252</v>
      </c>
      <c r="C41" t="s">
        <v>36</v>
      </c>
      <c r="D41" t="s">
        <v>37</v>
      </c>
      <c r="E41" t="s">
        <v>14</v>
      </c>
      <c r="F41">
        <v>58</v>
      </c>
      <c r="G41">
        <v>5742</v>
      </c>
      <c r="H41">
        <v>6</v>
      </c>
      <c r="I41">
        <v>5</v>
      </c>
      <c r="J41" t="s">
        <v>15</v>
      </c>
      <c r="K41" t="s">
        <v>16</v>
      </c>
      <c r="L41" t="s">
        <v>17</v>
      </c>
    </row>
    <row r="42" spans="1:12" x14ac:dyDescent="0.2">
      <c r="A42">
        <v>41</v>
      </c>
      <c r="B42" s="1">
        <v>43587</v>
      </c>
      <c r="C42" t="s">
        <v>28</v>
      </c>
      <c r="D42" t="s">
        <v>29</v>
      </c>
      <c r="E42" t="s">
        <v>14</v>
      </c>
      <c r="F42">
        <v>27</v>
      </c>
      <c r="G42">
        <v>15101</v>
      </c>
      <c r="H42">
        <v>5</v>
      </c>
      <c r="I42">
        <v>2</v>
      </c>
      <c r="J42" t="s">
        <v>20</v>
      </c>
      <c r="K42" t="s">
        <v>27</v>
      </c>
      <c r="L42" t="s">
        <v>21</v>
      </c>
    </row>
    <row r="43" spans="1:12" x14ac:dyDescent="0.2">
      <c r="A43">
        <v>42</v>
      </c>
      <c r="B43" s="1">
        <v>43304</v>
      </c>
      <c r="C43" t="s">
        <v>36</v>
      </c>
      <c r="D43" t="s">
        <v>37</v>
      </c>
      <c r="E43" t="s">
        <v>14</v>
      </c>
      <c r="F43">
        <v>26</v>
      </c>
      <c r="G43">
        <v>7734</v>
      </c>
      <c r="H43">
        <v>1</v>
      </c>
      <c r="I43">
        <v>1</v>
      </c>
      <c r="J43" t="s">
        <v>15</v>
      </c>
      <c r="K43" t="s">
        <v>32</v>
      </c>
      <c r="L43" t="s">
        <v>39</v>
      </c>
    </row>
    <row r="44" spans="1:12" x14ac:dyDescent="0.2">
      <c r="A44">
        <v>43</v>
      </c>
      <c r="B44" s="1">
        <v>45024</v>
      </c>
      <c r="C44" t="s">
        <v>30</v>
      </c>
      <c r="D44" t="s">
        <v>38</v>
      </c>
      <c r="E44" t="s">
        <v>14</v>
      </c>
      <c r="F44">
        <v>44</v>
      </c>
      <c r="G44">
        <v>4778</v>
      </c>
      <c r="H44">
        <v>1</v>
      </c>
      <c r="I44">
        <v>5</v>
      </c>
      <c r="J44" t="s">
        <v>15</v>
      </c>
      <c r="K44" t="s">
        <v>27</v>
      </c>
      <c r="L44" t="s">
        <v>17</v>
      </c>
    </row>
    <row r="45" spans="1:12" x14ac:dyDescent="0.2">
      <c r="A45">
        <v>44</v>
      </c>
      <c r="B45" s="1">
        <v>43027</v>
      </c>
      <c r="C45" t="s">
        <v>12</v>
      </c>
      <c r="D45" t="s">
        <v>13</v>
      </c>
      <c r="E45" t="s">
        <v>14</v>
      </c>
      <c r="F45">
        <v>33</v>
      </c>
      <c r="G45">
        <v>11636</v>
      </c>
      <c r="H45">
        <v>0</v>
      </c>
      <c r="I45">
        <v>4</v>
      </c>
      <c r="J45" t="s">
        <v>20</v>
      </c>
      <c r="K45" t="s">
        <v>16</v>
      </c>
      <c r="L45" t="s">
        <v>39</v>
      </c>
    </row>
    <row r="46" spans="1:12" x14ac:dyDescent="0.2">
      <c r="A46">
        <v>45</v>
      </c>
      <c r="B46" s="1">
        <v>44051</v>
      </c>
      <c r="C46" t="s">
        <v>30</v>
      </c>
      <c r="D46" t="s">
        <v>31</v>
      </c>
      <c r="E46" t="s">
        <v>24</v>
      </c>
      <c r="F46">
        <v>41</v>
      </c>
      <c r="G46">
        <v>14874</v>
      </c>
      <c r="H46">
        <v>9</v>
      </c>
      <c r="I46">
        <v>5</v>
      </c>
      <c r="J46" t="s">
        <v>15</v>
      </c>
      <c r="K46" t="s">
        <v>27</v>
      </c>
      <c r="L46" t="s">
        <v>34</v>
      </c>
    </row>
    <row r="47" spans="1:12" x14ac:dyDescent="0.2">
      <c r="A47">
        <v>46</v>
      </c>
      <c r="B47" s="1">
        <v>44158</v>
      </c>
      <c r="C47" t="s">
        <v>36</v>
      </c>
      <c r="D47" t="s">
        <v>37</v>
      </c>
      <c r="E47" t="s">
        <v>24</v>
      </c>
      <c r="F47">
        <v>28</v>
      </c>
      <c r="G47">
        <v>16433</v>
      </c>
      <c r="H47">
        <v>12</v>
      </c>
      <c r="I47">
        <v>5</v>
      </c>
      <c r="J47" t="s">
        <v>15</v>
      </c>
      <c r="K47" t="s">
        <v>16</v>
      </c>
      <c r="L47" t="s">
        <v>39</v>
      </c>
    </row>
    <row r="48" spans="1:12" x14ac:dyDescent="0.2">
      <c r="A48">
        <v>47</v>
      </c>
      <c r="B48" s="1">
        <v>42417</v>
      </c>
      <c r="C48" t="s">
        <v>36</v>
      </c>
      <c r="D48" t="s">
        <v>42</v>
      </c>
      <c r="E48" t="s">
        <v>14</v>
      </c>
      <c r="F48">
        <v>23</v>
      </c>
      <c r="G48">
        <v>16048</v>
      </c>
      <c r="H48">
        <v>6</v>
      </c>
      <c r="I48">
        <v>4</v>
      </c>
      <c r="J48" t="s">
        <v>15</v>
      </c>
      <c r="K48" t="s">
        <v>16</v>
      </c>
      <c r="L48" t="s">
        <v>34</v>
      </c>
    </row>
    <row r="49" spans="1:12" x14ac:dyDescent="0.2">
      <c r="A49">
        <v>48</v>
      </c>
      <c r="B49" s="1">
        <v>42611</v>
      </c>
      <c r="C49" t="s">
        <v>12</v>
      </c>
      <c r="D49" t="s">
        <v>13</v>
      </c>
      <c r="E49" t="s">
        <v>14</v>
      </c>
      <c r="F49">
        <v>50</v>
      </c>
      <c r="G49">
        <v>12469</v>
      </c>
      <c r="H49">
        <v>4</v>
      </c>
      <c r="I49">
        <v>3</v>
      </c>
      <c r="J49" t="s">
        <v>20</v>
      </c>
      <c r="K49" t="s">
        <v>27</v>
      </c>
      <c r="L49" t="s">
        <v>34</v>
      </c>
    </row>
    <row r="50" spans="1:12" x14ac:dyDescent="0.2">
      <c r="A50">
        <v>49</v>
      </c>
      <c r="B50" s="1">
        <v>43441</v>
      </c>
      <c r="C50" t="s">
        <v>30</v>
      </c>
      <c r="D50" t="s">
        <v>38</v>
      </c>
      <c r="E50" t="s">
        <v>24</v>
      </c>
      <c r="F50">
        <v>53</v>
      </c>
      <c r="G50">
        <v>11772</v>
      </c>
      <c r="H50">
        <v>11</v>
      </c>
      <c r="I50">
        <v>4</v>
      </c>
      <c r="J50" t="s">
        <v>20</v>
      </c>
      <c r="K50" t="s">
        <v>32</v>
      </c>
      <c r="L50" t="s">
        <v>25</v>
      </c>
    </row>
    <row r="51" spans="1:12" x14ac:dyDescent="0.2">
      <c r="A51">
        <v>50</v>
      </c>
      <c r="B51" s="1">
        <v>42226</v>
      </c>
      <c r="C51" t="s">
        <v>18</v>
      </c>
      <c r="D51" t="s">
        <v>26</v>
      </c>
      <c r="E51" t="s">
        <v>14</v>
      </c>
      <c r="F51">
        <v>57</v>
      </c>
      <c r="G51">
        <v>15419</v>
      </c>
      <c r="H51">
        <v>14</v>
      </c>
      <c r="I51">
        <v>1</v>
      </c>
      <c r="J51" t="s">
        <v>20</v>
      </c>
      <c r="K51" t="s">
        <v>27</v>
      </c>
      <c r="L51" t="s">
        <v>21</v>
      </c>
    </row>
    <row r="52" spans="1:12" x14ac:dyDescent="0.2">
      <c r="A52">
        <v>51</v>
      </c>
      <c r="B52" s="1">
        <v>44401</v>
      </c>
      <c r="C52" t="s">
        <v>12</v>
      </c>
      <c r="D52" t="s">
        <v>13</v>
      </c>
      <c r="E52" t="s">
        <v>24</v>
      </c>
      <c r="F52">
        <v>28</v>
      </c>
      <c r="G52">
        <v>19918</v>
      </c>
      <c r="H52">
        <v>3</v>
      </c>
      <c r="I52">
        <v>1</v>
      </c>
      <c r="J52" t="s">
        <v>20</v>
      </c>
      <c r="K52" t="s">
        <v>27</v>
      </c>
      <c r="L52" t="s">
        <v>34</v>
      </c>
    </row>
    <row r="53" spans="1:12" x14ac:dyDescent="0.2">
      <c r="A53">
        <v>52</v>
      </c>
      <c r="B53" s="1">
        <v>41615</v>
      </c>
      <c r="C53" t="s">
        <v>30</v>
      </c>
      <c r="D53" t="s">
        <v>31</v>
      </c>
      <c r="E53" t="s">
        <v>14</v>
      </c>
      <c r="F53">
        <v>33</v>
      </c>
      <c r="G53">
        <v>4153</v>
      </c>
      <c r="H53">
        <v>13</v>
      </c>
      <c r="I53">
        <v>1</v>
      </c>
      <c r="J53" t="s">
        <v>20</v>
      </c>
      <c r="K53" t="s">
        <v>27</v>
      </c>
      <c r="L53" t="s">
        <v>34</v>
      </c>
    </row>
    <row r="54" spans="1:12" x14ac:dyDescent="0.2">
      <c r="A54">
        <v>53</v>
      </c>
      <c r="B54" s="1">
        <v>44801</v>
      </c>
      <c r="C54" t="s">
        <v>36</v>
      </c>
      <c r="D54" t="s">
        <v>40</v>
      </c>
      <c r="E54" t="s">
        <v>24</v>
      </c>
      <c r="F54">
        <v>45</v>
      </c>
      <c r="G54">
        <v>12063</v>
      </c>
      <c r="H54">
        <v>7</v>
      </c>
      <c r="I54">
        <v>1</v>
      </c>
      <c r="J54" t="s">
        <v>20</v>
      </c>
      <c r="K54" t="s">
        <v>27</v>
      </c>
      <c r="L54" t="s">
        <v>39</v>
      </c>
    </row>
    <row r="55" spans="1:12" x14ac:dyDescent="0.2">
      <c r="A55">
        <v>54</v>
      </c>
      <c r="B55" s="1">
        <v>42727</v>
      </c>
      <c r="C55" t="s">
        <v>36</v>
      </c>
      <c r="D55" t="s">
        <v>42</v>
      </c>
      <c r="E55" t="s">
        <v>14</v>
      </c>
      <c r="F55">
        <v>26</v>
      </c>
      <c r="G55">
        <v>16096</v>
      </c>
      <c r="H55">
        <v>4</v>
      </c>
      <c r="I55">
        <v>2</v>
      </c>
      <c r="J55" t="s">
        <v>15</v>
      </c>
      <c r="K55" t="s">
        <v>32</v>
      </c>
      <c r="L55" t="s">
        <v>25</v>
      </c>
    </row>
    <row r="56" spans="1:12" x14ac:dyDescent="0.2">
      <c r="A56">
        <v>55</v>
      </c>
      <c r="B56" s="1">
        <v>42551</v>
      </c>
      <c r="C56" t="s">
        <v>12</v>
      </c>
      <c r="D56" t="s">
        <v>41</v>
      </c>
      <c r="E56" t="s">
        <v>24</v>
      </c>
      <c r="F56">
        <v>54</v>
      </c>
      <c r="G56">
        <v>17684</v>
      </c>
      <c r="H56">
        <v>1</v>
      </c>
      <c r="I56">
        <v>2</v>
      </c>
      <c r="J56" t="s">
        <v>15</v>
      </c>
      <c r="K56" t="s">
        <v>16</v>
      </c>
      <c r="L56" t="s">
        <v>39</v>
      </c>
    </row>
    <row r="57" spans="1:12" x14ac:dyDescent="0.2">
      <c r="A57">
        <v>56</v>
      </c>
      <c r="B57" s="1">
        <v>40555</v>
      </c>
      <c r="C57" t="s">
        <v>12</v>
      </c>
      <c r="D57" t="s">
        <v>41</v>
      </c>
      <c r="E57" t="s">
        <v>14</v>
      </c>
      <c r="F57">
        <v>54</v>
      </c>
      <c r="G57">
        <v>12718</v>
      </c>
      <c r="H57">
        <v>15</v>
      </c>
      <c r="I57">
        <v>3</v>
      </c>
      <c r="J57" t="s">
        <v>15</v>
      </c>
      <c r="K57" t="s">
        <v>16</v>
      </c>
      <c r="L57" t="s">
        <v>25</v>
      </c>
    </row>
    <row r="58" spans="1:12" x14ac:dyDescent="0.2">
      <c r="A58">
        <v>57</v>
      </c>
      <c r="B58" s="1">
        <v>44510</v>
      </c>
      <c r="C58" t="s">
        <v>18</v>
      </c>
      <c r="D58" t="s">
        <v>26</v>
      </c>
      <c r="E58" t="s">
        <v>14</v>
      </c>
      <c r="F58">
        <v>25</v>
      </c>
      <c r="G58">
        <v>6016</v>
      </c>
      <c r="H58">
        <v>7</v>
      </c>
      <c r="I58">
        <v>3</v>
      </c>
      <c r="J58" t="s">
        <v>15</v>
      </c>
      <c r="K58" t="s">
        <v>16</v>
      </c>
      <c r="L58" t="s">
        <v>25</v>
      </c>
    </row>
    <row r="59" spans="1:12" x14ac:dyDescent="0.2">
      <c r="A59">
        <v>58</v>
      </c>
      <c r="B59" s="1">
        <v>43831</v>
      </c>
      <c r="C59" t="s">
        <v>18</v>
      </c>
      <c r="D59" t="s">
        <v>26</v>
      </c>
      <c r="E59" t="s">
        <v>14</v>
      </c>
      <c r="F59">
        <v>22</v>
      </c>
      <c r="G59">
        <v>10715</v>
      </c>
      <c r="H59">
        <v>11</v>
      </c>
      <c r="I59">
        <v>2</v>
      </c>
      <c r="J59" t="s">
        <v>15</v>
      </c>
      <c r="K59" t="s">
        <v>32</v>
      </c>
      <c r="L59" t="s">
        <v>39</v>
      </c>
    </row>
    <row r="60" spans="1:12" x14ac:dyDescent="0.2">
      <c r="A60">
        <v>59</v>
      </c>
      <c r="B60" s="1">
        <v>43202</v>
      </c>
      <c r="C60" t="s">
        <v>30</v>
      </c>
      <c r="D60" t="s">
        <v>31</v>
      </c>
      <c r="E60" t="s">
        <v>14</v>
      </c>
      <c r="F60">
        <v>45</v>
      </c>
      <c r="G60">
        <v>19436</v>
      </c>
      <c r="H60">
        <v>8</v>
      </c>
      <c r="I60">
        <v>1</v>
      </c>
      <c r="J60" t="s">
        <v>15</v>
      </c>
      <c r="K60" t="s">
        <v>32</v>
      </c>
      <c r="L60" t="s">
        <v>25</v>
      </c>
    </row>
    <row r="61" spans="1:12" x14ac:dyDescent="0.2">
      <c r="A61">
        <v>60</v>
      </c>
      <c r="B61" s="1">
        <v>41096</v>
      </c>
      <c r="C61" t="s">
        <v>28</v>
      </c>
      <c r="D61" t="s">
        <v>33</v>
      </c>
      <c r="E61" t="s">
        <v>14</v>
      </c>
      <c r="F61">
        <v>55</v>
      </c>
      <c r="G61">
        <v>5291</v>
      </c>
      <c r="H61">
        <v>4</v>
      </c>
      <c r="I61">
        <v>5</v>
      </c>
      <c r="J61" t="s">
        <v>15</v>
      </c>
      <c r="K61" t="s">
        <v>16</v>
      </c>
      <c r="L61" t="s">
        <v>21</v>
      </c>
    </row>
    <row r="62" spans="1:12" x14ac:dyDescent="0.2">
      <c r="A62">
        <v>61</v>
      </c>
      <c r="B62" s="1">
        <v>42749</v>
      </c>
      <c r="C62" t="s">
        <v>18</v>
      </c>
      <c r="D62" t="s">
        <v>26</v>
      </c>
      <c r="E62" t="s">
        <v>24</v>
      </c>
      <c r="F62">
        <v>25</v>
      </c>
      <c r="G62">
        <v>18870</v>
      </c>
      <c r="H62">
        <v>4</v>
      </c>
      <c r="I62">
        <v>3</v>
      </c>
      <c r="J62" t="s">
        <v>15</v>
      </c>
      <c r="K62" t="s">
        <v>32</v>
      </c>
      <c r="L62" t="s">
        <v>17</v>
      </c>
    </row>
    <row r="63" spans="1:12" x14ac:dyDescent="0.2">
      <c r="A63">
        <v>62</v>
      </c>
      <c r="B63" s="1">
        <v>43979</v>
      </c>
      <c r="C63" t="s">
        <v>18</v>
      </c>
      <c r="D63" t="s">
        <v>19</v>
      </c>
      <c r="E63" t="s">
        <v>24</v>
      </c>
      <c r="F63">
        <v>41</v>
      </c>
      <c r="G63">
        <v>7269</v>
      </c>
      <c r="H63">
        <v>0</v>
      </c>
      <c r="I63">
        <v>3</v>
      </c>
      <c r="J63" t="s">
        <v>15</v>
      </c>
      <c r="K63" t="s">
        <v>27</v>
      </c>
      <c r="L63" t="s">
        <v>21</v>
      </c>
    </row>
    <row r="64" spans="1:12" x14ac:dyDescent="0.2">
      <c r="A64">
        <v>63</v>
      </c>
      <c r="B64" s="1">
        <v>43519</v>
      </c>
      <c r="C64" t="s">
        <v>36</v>
      </c>
      <c r="D64" t="s">
        <v>37</v>
      </c>
      <c r="E64" t="s">
        <v>14</v>
      </c>
      <c r="F64">
        <v>34</v>
      </c>
      <c r="G64">
        <v>18683</v>
      </c>
      <c r="H64">
        <v>6</v>
      </c>
      <c r="I64">
        <v>5</v>
      </c>
      <c r="J64" t="s">
        <v>15</v>
      </c>
      <c r="K64" t="s">
        <v>27</v>
      </c>
      <c r="L64" t="s">
        <v>17</v>
      </c>
    </row>
    <row r="65" spans="1:12" x14ac:dyDescent="0.2">
      <c r="A65">
        <v>64</v>
      </c>
      <c r="B65" s="1">
        <v>44161</v>
      </c>
      <c r="C65" t="s">
        <v>30</v>
      </c>
      <c r="D65" t="s">
        <v>31</v>
      </c>
      <c r="E65" t="s">
        <v>24</v>
      </c>
      <c r="F65">
        <v>37</v>
      </c>
      <c r="G65">
        <v>16402</v>
      </c>
      <c r="H65">
        <v>5</v>
      </c>
      <c r="I65">
        <v>4</v>
      </c>
      <c r="J65" t="s">
        <v>20</v>
      </c>
      <c r="K65" t="s">
        <v>27</v>
      </c>
      <c r="L65" t="s">
        <v>17</v>
      </c>
    </row>
    <row r="66" spans="1:12" x14ac:dyDescent="0.2">
      <c r="A66">
        <v>65</v>
      </c>
      <c r="B66" s="1">
        <v>44041</v>
      </c>
      <c r="C66" t="s">
        <v>22</v>
      </c>
      <c r="D66" t="s">
        <v>23</v>
      </c>
      <c r="E66" t="s">
        <v>14</v>
      </c>
      <c r="F66">
        <v>28</v>
      </c>
      <c r="G66">
        <v>17265</v>
      </c>
      <c r="H66">
        <v>0</v>
      </c>
      <c r="I66">
        <v>2</v>
      </c>
      <c r="J66" t="s">
        <v>20</v>
      </c>
      <c r="K66" t="s">
        <v>16</v>
      </c>
      <c r="L66" t="s">
        <v>21</v>
      </c>
    </row>
    <row r="67" spans="1:12" x14ac:dyDescent="0.2">
      <c r="A67">
        <v>66</v>
      </c>
      <c r="B67" s="1">
        <v>45081</v>
      </c>
      <c r="C67" t="s">
        <v>30</v>
      </c>
      <c r="D67" t="s">
        <v>38</v>
      </c>
      <c r="E67" t="s">
        <v>14</v>
      </c>
      <c r="F67">
        <v>38</v>
      </c>
      <c r="G67">
        <v>6054</v>
      </c>
      <c r="H67">
        <v>8</v>
      </c>
      <c r="I67">
        <v>3</v>
      </c>
      <c r="J67" t="s">
        <v>15</v>
      </c>
      <c r="K67" t="s">
        <v>27</v>
      </c>
      <c r="L67" t="s">
        <v>17</v>
      </c>
    </row>
    <row r="68" spans="1:12" x14ac:dyDescent="0.2">
      <c r="A68">
        <v>67</v>
      </c>
      <c r="B68" s="1">
        <v>45091</v>
      </c>
      <c r="C68" t="s">
        <v>12</v>
      </c>
      <c r="D68" t="s">
        <v>41</v>
      </c>
      <c r="E68" t="s">
        <v>24</v>
      </c>
      <c r="F68">
        <v>32</v>
      </c>
      <c r="G68">
        <v>10689</v>
      </c>
      <c r="H68">
        <v>3</v>
      </c>
      <c r="I68">
        <v>2</v>
      </c>
      <c r="J68" t="s">
        <v>15</v>
      </c>
      <c r="K68" t="s">
        <v>32</v>
      </c>
      <c r="L68" t="s">
        <v>25</v>
      </c>
    </row>
    <row r="69" spans="1:12" x14ac:dyDescent="0.2">
      <c r="A69">
        <v>68</v>
      </c>
      <c r="B69" s="1">
        <v>43667</v>
      </c>
      <c r="C69" t="s">
        <v>28</v>
      </c>
      <c r="D69" t="s">
        <v>33</v>
      </c>
      <c r="E69" t="s">
        <v>14</v>
      </c>
      <c r="F69">
        <v>34</v>
      </c>
      <c r="G69">
        <v>9058</v>
      </c>
      <c r="H69">
        <v>8</v>
      </c>
      <c r="I69">
        <v>1</v>
      </c>
      <c r="J69" t="s">
        <v>20</v>
      </c>
      <c r="K69" t="s">
        <v>32</v>
      </c>
      <c r="L69" t="s">
        <v>17</v>
      </c>
    </row>
    <row r="70" spans="1:12" x14ac:dyDescent="0.2">
      <c r="A70">
        <v>69</v>
      </c>
      <c r="B70" s="1">
        <v>42130</v>
      </c>
      <c r="C70" t="s">
        <v>28</v>
      </c>
      <c r="D70" t="s">
        <v>33</v>
      </c>
      <c r="E70" t="s">
        <v>14</v>
      </c>
      <c r="F70">
        <v>47</v>
      </c>
      <c r="G70">
        <v>6396</v>
      </c>
      <c r="H70">
        <v>3</v>
      </c>
      <c r="I70">
        <v>4</v>
      </c>
      <c r="J70" t="s">
        <v>15</v>
      </c>
      <c r="K70" t="s">
        <v>16</v>
      </c>
      <c r="L70" t="s">
        <v>17</v>
      </c>
    </row>
    <row r="71" spans="1:12" x14ac:dyDescent="0.2">
      <c r="A71">
        <v>70</v>
      </c>
      <c r="B71" s="1">
        <v>44657</v>
      </c>
      <c r="C71" t="s">
        <v>28</v>
      </c>
      <c r="D71" t="s">
        <v>29</v>
      </c>
      <c r="E71" t="s">
        <v>14</v>
      </c>
      <c r="F71">
        <v>33</v>
      </c>
      <c r="G71">
        <v>7268</v>
      </c>
      <c r="H71">
        <v>5</v>
      </c>
      <c r="I71">
        <v>1</v>
      </c>
      <c r="J71" t="s">
        <v>15</v>
      </c>
      <c r="K71" t="s">
        <v>32</v>
      </c>
      <c r="L71" t="s">
        <v>39</v>
      </c>
    </row>
    <row r="72" spans="1:12" x14ac:dyDescent="0.2">
      <c r="A72">
        <v>71</v>
      </c>
      <c r="B72" s="1">
        <v>42195</v>
      </c>
      <c r="C72" t="s">
        <v>12</v>
      </c>
      <c r="D72" t="s">
        <v>41</v>
      </c>
      <c r="E72" t="s">
        <v>24</v>
      </c>
      <c r="F72">
        <v>48</v>
      </c>
      <c r="G72">
        <v>6680</v>
      </c>
      <c r="H72">
        <v>2</v>
      </c>
      <c r="I72">
        <v>3</v>
      </c>
      <c r="J72" t="s">
        <v>15</v>
      </c>
      <c r="K72" t="s">
        <v>32</v>
      </c>
      <c r="L72" t="s">
        <v>21</v>
      </c>
    </row>
    <row r="73" spans="1:12" x14ac:dyDescent="0.2">
      <c r="A73">
        <v>72</v>
      </c>
      <c r="B73" s="1">
        <v>41628</v>
      </c>
      <c r="C73" t="s">
        <v>22</v>
      </c>
      <c r="D73" t="s">
        <v>35</v>
      </c>
      <c r="E73" t="s">
        <v>14</v>
      </c>
      <c r="F73">
        <v>23</v>
      </c>
      <c r="G73">
        <v>17474</v>
      </c>
      <c r="H73">
        <v>12</v>
      </c>
      <c r="I73">
        <v>5</v>
      </c>
      <c r="J73" t="s">
        <v>20</v>
      </c>
      <c r="K73" t="s">
        <v>27</v>
      </c>
      <c r="L73" t="s">
        <v>39</v>
      </c>
    </row>
    <row r="74" spans="1:12" x14ac:dyDescent="0.2">
      <c r="A74">
        <v>73</v>
      </c>
      <c r="B74" s="1">
        <v>44486</v>
      </c>
      <c r="C74" t="s">
        <v>22</v>
      </c>
      <c r="D74" t="s">
        <v>23</v>
      </c>
      <c r="E74" t="s">
        <v>24</v>
      </c>
      <c r="F74">
        <v>45</v>
      </c>
      <c r="G74">
        <v>7291</v>
      </c>
      <c r="H74">
        <v>2</v>
      </c>
      <c r="I74">
        <v>3</v>
      </c>
      <c r="J74" t="s">
        <v>20</v>
      </c>
      <c r="K74" t="s">
        <v>27</v>
      </c>
      <c r="L74" t="s">
        <v>39</v>
      </c>
    </row>
    <row r="75" spans="1:12" x14ac:dyDescent="0.2">
      <c r="A75">
        <v>74</v>
      </c>
      <c r="B75" s="1">
        <v>41422</v>
      </c>
      <c r="C75" t="s">
        <v>36</v>
      </c>
      <c r="D75" t="s">
        <v>40</v>
      </c>
      <c r="E75" t="s">
        <v>24</v>
      </c>
      <c r="F75">
        <v>57</v>
      </c>
      <c r="G75">
        <v>11608</v>
      </c>
      <c r="H75">
        <v>8</v>
      </c>
      <c r="I75">
        <v>2</v>
      </c>
      <c r="J75" t="s">
        <v>20</v>
      </c>
      <c r="K75" t="s">
        <v>16</v>
      </c>
      <c r="L75" t="s">
        <v>17</v>
      </c>
    </row>
    <row r="76" spans="1:12" x14ac:dyDescent="0.2">
      <c r="A76">
        <v>75</v>
      </c>
      <c r="B76" s="1">
        <v>44437</v>
      </c>
      <c r="C76" t="s">
        <v>30</v>
      </c>
      <c r="D76" t="s">
        <v>38</v>
      </c>
      <c r="E76" t="s">
        <v>24</v>
      </c>
      <c r="F76">
        <v>47</v>
      </c>
      <c r="G76">
        <v>5086</v>
      </c>
      <c r="H76">
        <v>5</v>
      </c>
      <c r="I76">
        <v>2</v>
      </c>
      <c r="J76" t="s">
        <v>20</v>
      </c>
      <c r="K76" t="s">
        <v>27</v>
      </c>
      <c r="L76" t="s">
        <v>21</v>
      </c>
    </row>
    <row r="77" spans="1:12" x14ac:dyDescent="0.2">
      <c r="A77">
        <v>76</v>
      </c>
      <c r="B77" s="1">
        <v>40762</v>
      </c>
      <c r="C77" t="s">
        <v>36</v>
      </c>
      <c r="D77" t="s">
        <v>40</v>
      </c>
      <c r="E77" t="s">
        <v>24</v>
      </c>
      <c r="F77">
        <v>52</v>
      </c>
      <c r="G77">
        <v>17987</v>
      </c>
      <c r="H77">
        <v>11</v>
      </c>
      <c r="I77">
        <v>3</v>
      </c>
      <c r="J77" t="s">
        <v>20</v>
      </c>
      <c r="K77" t="s">
        <v>16</v>
      </c>
      <c r="L77" t="s">
        <v>34</v>
      </c>
    </row>
    <row r="78" spans="1:12" x14ac:dyDescent="0.2">
      <c r="A78">
        <v>77</v>
      </c>
      <c r="B78" s="1">
        <v>42239</v>
      </c>
      <c r="C78" t="s">
        <v>18</v>
      </c>
      <c r="D78" t="s">
        <v>26</v>
      </c>
      <c r="E78" t="s">
        <v>24</v>
      </c>
      <c r="F78">
        <v>42</v>
      </c>
      <c r="G78">
        <v>4639</v>
      </c>
      <c r="H78">
        <v>0</v>
      </c>
      <c r="I78">
        <v>4</v>
      </c>
      <c r="J78" t="s">
        <v>20</v>
      </c>
      <c r="K78" t="s">
        <v>16</v>
      </c>
      <c r="L78" t="s">
        <v>17</v>
      </c>
    </row>
    <row r="79" spans="1:12" x14ac:dyDescent="0.2">
      <c r="A79">
        <v>78</v>
      </c>
      <c r="B79" s="1">
        <v>41730</v>
      </c>
      <c r="C79" t="s">
        <v>22</v>
      </c>
      <c r="D79" t="s">
        <v>23</v>
      </c>
      <c r="E79" t="s">
        <v>24</v>
      </c>
      <c r="F79">
        <v>23</v>
      </c>
      <c r="G79">
        <v>16916</v>
      </c>
      <c r="H79">
        <v>6</v>
      </c>
      <c r="I79">
        <v>2</v>
      </c>
      <c r="J79" t="s">
        <v>20</v>
      </c>
      <c r="K79" t="s">
        <v>27</v>
      </c>
      <c r="L79" t="s">
        <v>34</v>
      </c>
    </row>
    <row r="80" spans="1:12" x14ac:dyDescent="0.2">
      <c r="A80">
        <v>79</v>
      </c>
      <c r="B80" s="1">
        <v>40689</v>
      </c>
      <c r="C80" t="s">
        <v>30</v>
      </c>
      <c r="D80" t="s">
        <v>38</v>
      </c>
      <c r="E80" t="s">
        <v>24</v>
      </c>
      <c r="F80">
        <v>46</v>
      </c>
      <c r="G80">
        <v>13953</v>
      </c>
      <c r="H80">
        <v>7</v>
      </c>
      <c r="I80">
        <v>4</v>
      </c>
      <c r="J80" t="s">
        <v>15</v>
      </c>
      <c r="K80" t="s">
        <v>32</v>
      </c>
      <c r="L80" t="s">
        <v>17</v>
      </c>
    </row>
    <row r="81" spans="1:12" x14ac:dyDescent="0.2">
      <c r="A81">
        <v>80</v>
      </c>
      <c r="B81" s="1">
        <v>43684</v>
      </c>
      <c r="C81" t="s">
        <v>36</v>
      </c>
      <c r="D81" t="s">
        <v>37</v>
      </c>
      <c r="E81" t="s">
        <v>24</v>
      </c>
      <c r="F81">
        <v>36</v>
      </c>
      <c r="G81">
        <v>17768</v>
      </c>
      <c r="H81">
        <v>6</v>
      </c>
      <c r="I81">
        <v>2</v>
      </c>
      <c r="J81" t="s">
        <v>15</v>
      </c>
      <c r="K81" t="s">
        <v>27</v>
      </c>
      <c r="L81" t="s">
        <v>34</v>
      </c>
    </row>
    <row r="82" spans="1:12" x14ac:dyDescent="0.2">
      <c r="A82">
        <v>81</v>
      </c>
      <c r="B82" s="1">
        <v>40519</v>
      </c>
      <c r="C82" t="s">
        <v>28</v>
      </c>
      <c r="D82" t="s">
        <v>33</v>
      </c>
      <c r="E82" t="s">
        <v>24</v>
      </c>
      <c r="F82">
        <v>27</v>
      </c>
      <c r="G82">
        <v>8639</v>
      </c>
      <c r="H82">
        <v>1</v>
      </c>
      <c r="I82">
        <v>3</v>
      </c>
      <c r="J82" t="s">
        <v>15</v>
      </c>
      <c r="K82" t="s">
        <v>32</v>
      </c>
      <c r="L82" t="s">
        <v>25</v>
      </c>
    </row>
    <row r="83" spans="1:12" x14ac:dyDescent="0.2">
      <c r="A83">
        <v>82</v>
      </c>
      <c r="B83" s="1">
        <v>44448</v>
      </c>
      <c r="C83" t="s">
        <v>28</v>
      </c>
      <c r="D83" t="s">
        <v>29</v>
      </c>
      <c r="E83" t="s">
        <v>24</v>
      </c>
      <c r="F83">
        <v>45</v>
      </c>
      <c r="G83">
        <v>17468</v>
      </c>
      <c r="H83">
        <v>13</v>
      </c>
      <c r="I83">
        <v>4</v>
      </c>
      <c r="J83" t="s">
        <v>20</v>
      </c>
      <c r="K83" t="s">
        <v>27</v>
      </c>
      <c r="L83" t="s">
        <v>39</v>
      </c>
    </row>
    <row r="84" spans="1:12" x14ac:dyDescent="0.2">
      <c r="A84">
        <v>83</v>
      </c>
      <c r="B84" s="1">
        <v>40687</v>
      </c>
      <c r="C84" t="s">
        <v>18</v>
      </c>
      <c r="D84" t="s">
        <v>19</v>
      </c>
      <c r="E84" t="s">
        <v>24</v>
      </c>
      <c r="F84">
        <v>42</v>
      </c>
      <c r="G84">
        <v>6689</v>
      </c>
      <c r="H84">
        <v>13</v>
      </c>
      <c r="I84">
        <v>4</v>
      </c>
      <c r="J84" t="s">
        <v>20</v>
      </c>
      <c r="K84" t="s">
        <v>16</v>
      </c>
      <c r="L84" t="s">
        <v>25</v>
      </c>
    </row>
    <row r="85" spans="1:12" x14ac:dyDescent="0.2">
      <c r="A85">
        <v>84</v>
      </c>
      <c r="B85" s="1">
        <v>43222</v>
      </c>
      <c r="C85" t="s">
        <v>18</v>
      </c>
      <c r="D85" t="s">
        <v>19</v>
      </c>
      <c r="E85" t="s">
        <v>24</v>
      </c>
      <c r="F85">
        <v>58</v>
      </c>
      <c r="G85">
        <v>8586</v>
      </c>
      <c r="H85">
        <v>14</v>
      </c>
      <c r="I85">
        <v>4</v>
      </c>
      <c r="J85" t="s">
        <v>20</v>
      </c>
      <c r="K85" t="s">
        <v>27</v>
      </c>
      <c r="L85" t="s">
        <v>25</v>
      </c>
    </row>
    <row r="86" spans="1:12" x14ac:dyDescent="0.2">
      <c r="A86">
        <v>85</v>
      </c>
      <c r="B86" s="1">
        <v>42270</v>
      </c>
      <c r="C86" t="s">
        <v>30</v>
      </c>
      <c r="D86" t="s">
        <v>31</v>
      </c>
      <c r="E86" t="s">
        <v>14</v>
      </c>
      <c r="F86">
        <v>35</v>
      </c>
      <c r="G86">
        <v>4009</v>
      </c>
      <c r="H86">
        <v>13</v>
      </c>
      <c r="I86">
        <v>1</v>
      </c>
      <c r="J86" t="s">
        <v>15</v>
      </c>
      <c r="K86" t="s">
        <v>32</v>
      </c>
      <c r="L86" t="s">
        <v>17</v>
      </c>
    </row>
    <row r="87" spans="1:12" x14ac:dyDescent="0.2">
      <c r="A87">
        <v>86</v>
      </c>
      <c r="B87" s="1">
        <v>42282</v>
      </c>
      <c r="C87" t="s">
        <v>28</v>
      </c>
      <c r="D87" t="s">
        <v>33</v>
      </c>
      <c r="E87" t="s">
        <v>24</v>
      </c>
      <c r="F87">
        <v>49</v>
      </c>
      <c r="G87">
        <v>17447</v>
      </c>
      <c r="H87">
        <v>6</v>
      </c>
      <c r="I87">
        <v>1</v>
      </c>
      <c r="J87" t="s">
        <v>15</v>
      </c>
      <c r="K87" t="s">
        <v>16</v>
      </c>
      <c r="L87" t="s">
        <v>34</v>
      </c>
    </row>
    <row r="88" spans="1:12" x14ac:dyDescent="0.2">
      <c r="A88">
        <v>87</v>
      </c>
      <c r="B88" s="1">
        <v>43589</v>
      </c>
      <c r="C88" t="s">
        <v>30</v>
      </c>
      <c r="D88" t="s">
        <v>31</v>
      </c>
      <c r="E88" t="s">
        <v>24</v>
      </c>
      <c r="F88">
        <v>27</v>
      </c>
      <c r="G88">
        <v>4572</v>
      </c>
      <c r="H88">
        <v>14</v>
      </c>
      <c r="I88">
        <v>2</v>
      </c>
      <c r="J88" t="s">
        <v>20</v>
      </c>
      <c r="K88" t="s">
        <v>16</v>
      </c>
      <c r="L88" t="s">
        <v>34</v>
      </c>
    </row>
    <row r="89" spans="1:12" x14ac:dyDescent="0.2">
      <c r="A89">
        <v>88</v>
      </c>
      <c r="B89" s="1">
        <v>44524</v>
      </c>
      <c r="C89" t="s">
        <v>18</v>
      </c>
      <c r="D89" t="s">
        <v>19</v>
      </c>
      <c r="E89" t="s">
        <v>14</v>
      </c>
      <c r="F89">
        <v>46</v>
      </c>
      <c r="G89">
        <v>14937</v>
      </c>
      <c r="H89">
        <v>2</v>
      </c>
      <c r="I89">
        <v>1</v>
      </c>
      <c r="J89" t="s">
        <v>20</v>
      </c>
      <c r="K89" t="s">
        <v>16</v>
      </c>
      <c r="L89" t="s">
        <v>17</v>
      </c>
    </row>
    <row r="90" spans="1:12" x14ac:dyDescent="0.2">
      <c r="A90">
        <v>89</v>
      </c>
      <c r="B90" s="1">
        <v>44796</v>
      </c>
      <c r="C90" t="s">
        <v>18</v>
      </c>
      <c r="D90" t="s">
        <v>19</v>
      </c>
      <c r="E90" t="s">
        <v>14</v>
      </c>
      <c r="F90">
        <v>44</v>
      </c>
      <c r="G90">
        <v>8106</v>
      </c>
      <c r="H90">
        <v>7</v>
      </c>
      <c r="I90">
        <v>3</v>
      </c>
      <c r="J90" t="s">
        <v>15</v>
      </c>
      <c r="K90" t="s">
        <v>32</v>
      </c>
      <c r="L90" t="s">
        <v>34</v>
      </c>
    </row>
    <row r="91" spans="1:12" x14ac:dyDescent="0.2">
      <c r="A91">
        <v>90</v>
      </c>
      <c r="B91" s="1">
        <v>44082</v>
      </c>
      <c r="C91" t="s">
        <v>36</v>
      </c>
      <c r="D91" t="s">
        <v>37</v>
      </c>
      <c r="E91" t="s">
        <v>24</v>
      </c>
      <c r="F91">
        <v>43</v>
      </c>
      <c r="G91">
        <v>14979</v>
      </c>
      <c r="H91">
        <v>7</v>
      </c>
      <c r="I91">
        <v>1</v>
      </c>
      <c r="J91" t="s">
        <v>15</v>
      </c>
      <c r="K91" t="s">
        <v>16</v>
      </c>
      <c r="L91" t="s">
        <v>21</v>
      </c>
    </row>
    <row r="92" spans="1:12" x14ac:dyDescent="0.2">
      <c r="A92">
        <v>91</v>
      </c>
      <c r="B92" s="1">
        <v>43565</v>
      </c>
      <c r="C92" t="s">
        <v>22</v>
      </c>
      <c r="D92" t="s">
        <v>35</v>
      </c>
      <c r="E92" t="s">
        <v>14</v>
      </c>
      <c r="F92">
        <v>35</v>
      </c>
      <c r="G92">
        <v>11823</v>
      </c>
      <c r="H92">
        <v>7</v>
      </c>
      <c r="I92">
        <v>5</v>
      </c>
      <c r="J92" t="s">
        <v>20</v>
      </c>
      <c r="K92" t="s">
        <v>27</v>
      </c>
      <c r="L92" t="s">
        <v>39</v>
      </c>
    </row>
    <row r="93" spans="1:12" x14ac:dyDescent="0.2">
      <c r="A93">
        <v>92</v>
      </c>
      <c r="B93" s="1">
        <v>42469</v>
      </c>
      <c r="C93" t="s">
        <v>12</v>
      </c>
      <c r="D93" t="s">
        <v>41</v>
      </c>
      <c r="E93" t="s">
        <v>14</v>
      </c>
      <c r="F93">
        <v>38</v>
      </c>
      <c r="G93">
        <v>16396</v>
      </c>
      <c r="H93">
        <v>2</v>
      </c>
      <c r="I93">
        <v>2</v>
      </c>
      <c r="J93" t="s">
        <v>15</v>
      </c>
      <c r="K93" t="s">
        <v>16</v>
      </c>
      <c r="L93" t="s">
        <v>21</v>
      </c>
    </row>
    <row r="94" spans="1:12" x14ac:dyDescent="0.2">
      <c r="A94">
        <v>93</v>
      </c>
      <c r="B94" s="1">
        <v>40794</v>
      </c>
      <c r="C94" t="s">
        <v>12</v>
      </c>
      <c r="D94" t="s">
        <v>13</v>
      </c>
      <c r="E94" t="s">
        <v>24</v>
      </c>
      <c r="F94">
        <v>24</v>
      </c>
      <c r="G94">
        <v>14159</v>
      </c>
      <c r="H94">
        <v>2</v>
      </c>
      <c r="I94">
        <v>3</v>
      </c>
      <c r="J94" t="s">
        <v>20</v>
      </c>
      <c r="K94" t="s">
        <v>32</v>
      </c>
      <c r="L94" t="s">
        <v>17</v>
      </c>
    </row>
    <row r="95" spans="1:12" x14ac:dyDescent="0.2">
      <c r="A95">
        <v>94</v>
      </c>
      <c r="B95" s="1">
        <v>43921</v>
      </c>
      <c r="C95" t="s">
        <v>18</v>
      </c>
      <c r="D95" t="s">
        <v>19</v>
      </c>
      <c r="E95" t="s">
        <v>14</v>
      </c>
      <c r="F95">
        <v>60</v>
      </c>
      <c r="G95">
        <v>12069</v>
      </c>
      <c r="H95">
        <v>6</v>
      </c>
      <c r="I95">
        <v>1</v>
      </c>
      <c r="J95" t="s">
        <v>20</v>
      </c>
      <c r="K95" t="s">
        <v>27</v>
      </c>
      <c r="L95" t="s">
        <v>25</v>
      </c>
    </row>
    <row r="96" spans="1:12" x14ac:dyDescent="0.2">
      <c r="A96">
        <v>95</v>
      </c>
      <c r="B96" s="1">
        <v>41130</v>
      </c>
      <c r="C96" t="s">
        <v>30</v>
      </c>
      <c r="D96" t="s">
        <v>38</v>
      </c>
      <c r="E96" t="s">
        <v>24</v>
      </c>
      <c r="F96">
        <v>56</v>
      </c>
      <c r="G96">
        <v>4304</v>
      </c>
      <c r="H96">
        <v>13</v>
      </c>
      <c r="I96">
        <v>1</v>
      </c>
      <c r="J96" t="s">
        <v>15</v>
      </c>
      <c r="K96" t="s">
        <v>27</v>
      </c>
      <c r="L96" t="s">
        <v>39</v>
      </c>
    </row>
    <row r="97" spans="1:12" x14ac:dyDescent="0.2">
      <c r="A97">
        <v>96</v>
      </c>
      <c r="B97" s="1">
        <v>40313</v>
      </c>
      <c r="C97" t="s">
        <v>36</v>
      </c>
      <c r="D97" t="s">
        <v>37</v>
      </c>
      <c r="E97" t="s">
        <v>24</v>
      </c>
      <c r="F97">
        <v>33</v>
      </c>
      <c r="G97">
        <v>17893</v>
      </c>
      <c r="H97">
        <v>10</v>
      </c>
      <c r="I97">
        <v>2</v>
      </c>
      <c r="J97" t="s">
        <v>15</v>
      </c>
      <c r="K97" t="s">
        <v>32</v>
      </c>
      <c r="L97" t="s">
        <v>17</v>
      </c>
    </row>
    <row r="98" spans="1:12" x14ac:dyDescent="0.2">
      <c r="A98">
        <v>97</v>
      </c>
      <c r="B98" s="1">
        <v>42989</v>
      </c>
      <c r="C98" t="s">
        <v>22</v>
      </c>
      <c r="D98" t="s">
        <v>23</v>
      </c>
      <c r="E98" t="s">
        <v>24</v>
      </c>
      <c r="F98">
        <v>32</v>
      </c>
      <c r="G98">
        <v>19440</v>
      </c>
      <c r="H98">
        <v>10</v>
      </c>
      <c r="I98">
        <v>4</v>
      </c>
      <c r="J98" t="s">
        <v>20</v>
      </c>
      <c r="K98" t="s">
        <v>32</v>
      </c>
      <c r="L98" t="s">
        <v>21</v>
      </c>
    </row>
    <row r="99" spans="1:12" x14ac:dyDescent="0.2">
      <c r="A99">
        <v>98</v>
      </c>
      <c r="B99" s="1">
        <v>43220</v>
      </c>
      <c r="C99" t="s">
        <v>18</v>
      </c>
      <c r="D99" t="s">
        <v>26</v>
      </c>
      <c r="E99" t="s">
        <v>24</v>
      </c>
      <c r="F99">
        <v>28</v>
      </c>
      <c r="G99">
        <v>6435</v>
      </c>
      <c r="H99">
        <v>8</v>
      </c>
      <c r="I99">
        <v>5</v>
      </c>
      <c r="J99" t="s">
        <v>20</v>
      </c>
      <c r="K99" t="s">
        <v>16</v>
      </c>
      <c r="L99" t="s">
        <v>21</v>
      </c>
    </row>
    <row r="100" spans="1:12" x14ac:dyDescent="0.2">
      <c r="A100">
        <v>99</v>
      </c>
      <c r="B100" s="1">
        <v>44237</v>
      </c>
      <c r="C100" t="s">
        <v>28</v>
      </c>
      <c r="D100" t="s">
        <v>29</v>
      </c>
      <c r="E100" t="s">
        <v>24</v>
      </c>
      <c r="F100">
        <v>22</v>
      </c>
      <c r="G100">
        <v>16208</v>
      </c>
      <c r="H100">
        <v>0</v>
      </c>
      <c r="I100">
        <v>5</v>
      </c>
      <c r="J100" t="s">
        <v>20</v>
      </c>
      <c r="K100" t="s">
        <v>16</v>
      </c>
      <c r="L100" t="s">
        <v>21</v>
      </c>
    </row>
    <row r="101" spans="1:12" x14ac:dyDescent="0.2">
      <c r="A101">
        <v>100</v>
      </c>
      <c r="B101" s="1">
        <v>44393</v>
      </c>
      <c r="C101" t="s">
        <v>36</v>
      </c>
      <c r="D101" t="s">
        <v>42</v>
      </c>
      <c r="E101" t="s">
        <v>24</v>
      </c>
      <c r="F101">
        <v>35</v>
      </c>
      <c r="G101">
        <v>13671</v>
      </c>
      <c r="H101">
        <v>7</v>
      </c>
      <c r="I101">
        <v>2</v>
      </c>
      <c r="J101" t="s">
        <v>20</v>
      </c>
      <c r="K101" t="s">
        <v>27</v>
      </c>
      <c r="L101" t="s">
        <v>25</v>
      </c>
    </row>
    <row r="102" spans="1:12" x14ac:dyDescent="0.2">
      <c r="A102">
        <v>101</v>
      </c>
      <c r="B102" s="1">
        <v>41043</v>
      </c>
      <c r="C102" t="s">
        <v>18</v>
      </c>
      <c r="D102" t="s">
        <v>26</v>
      </c>
      <c r="E102" t="s">
        <v>24</v>
      </c>
      <c r="F102">
        <v>50</v>
      </c>
      <c r="G102">
        <v>4165</v>
      </c>
      <c r="H102">
        <v>4</v>
      </c>
      <c r="I102">
        <v>4</v>
      </c>
      <c r="J102" t="s">
        <v>20</v>
      </c>
      <c r="K102" t="s">
        <v>32</v>
      </c>
      <c r="L102" t="s">
        <v>25</v>
      </c>
    </row>
    <row r="103" spans="1:12" x14ac:dyDescent="0.2">
      <c r="A103">
        <v>102</v>
      </c>
      <c r="B103" s="1">
        <v>44496</v>
      </c>
      <c r="C103" t="s">
        <v>22</v>
      </c>
      <c r="D103" t="s">
        <v>35</v>
      </c>
      <c r="E103" t="s">
        <v>24</v>
      </c>
      <c r="F103">
        <v>28</v>
      </c>
      <c r="G103">
        <v>8739</v>
      </c>
      <c r="H103">
        <v>2</v>
      </c>
      <c r="I103">
        <v>2</v>
      </c>
      <c r="J103" t="s">
        <v>20</v>
      </c>
      <c r="K103" t="s">
        <v>27</v>
      </c>
      <c r="L103" t="s">
        <v>25</v>
      </c>
    </row>
    <row r="104" spans="1:12" x14ac:dyDescent="0.2">
      <c r="A104">
        <v>103</v>
      </c>
      <c r="B104" s="1">
        <v>41051</v>
      </c>
      <c r="C104" t="s">
        <v>18</v>
      </c>
      <c r="D104" t="s">
        <v>26</v>
      </c>
      <c r="E104" t="s">
        <v>14</v>
      </c>
      <c r="F104">
        <v>56</v>
      </c>
      <c r="G104">
        <v>9092</v>
      </c>
      <c r="H104">
        <v>11</v>
      </c>
      <c r="I104">
        <v>2</v>
      </c>
      <c r="J104" t="s">
        <v>15</v>
      </c>
      <c r="K104" t="s">
        <v>32</v>
      </c>
      <c r="L104" t="s">
        <v>34</v>
      </c>
    </row>
    <row r="105" spans="1:12" x14ac:dyDescent="0.2">
      <c r="A105">
        <v>104</v>
      </c>
      <c r="B105" s="1">
        <v>42650</v>
      </c>
      <c r="C105" t="s">
        <v>36</v>
      </c>
      <c r="D105" t="s">
        <v>37</v>
      </c>
      <c r="E105" t="s">
        <v>14</v>
      </c>
      <c r="F105">
        <v>48</v>
      </c>
      <c r="G105">
        <v>4013</v>
      </c>
      <c r="H105">
        <v>6</v>
      </c>
      <c r="I105">
        <v>2</v>
      </c>
      <c r="J105" t="s">
        <v>20</v>
      </c>
      <c r="K105" t="s">
        <v>32</v>
      </c>
      <c r="L105" t="s">
        <v>25</v>
      </c>
    </row>
    <row r="106" spans="1:12" x14ac:dyDescent="0.2">
      <c r="A106">
        <v>105</v>
      </c>
      <c r="B106" s="1">
        <v>40675</v>
      </c>
      <c r="C106" t="s">
        <v>12</v>
      </c>
      <c r="D106" t="s">
        <v>13</v>
      </c>
      <c r="E106" t="s">
        <v>14</v>
      </c>
      <c r="F106">
        <v>42</v>
      </c>
      <c r="G106">
        <v>5370</v>
      </c>
      <c r="H106">
        <v>9</v>
      </c>
      <c r="I106">
        <v>5</v>
      </c>
      <c r="J106" t="s">
        <v>15</v>
      </c>
      <c r="K106" t="s">
        <v>32</v>
      </c>
      <c r="L106" t="s">
        <v>39</v>
      </c>
    </row>
    <row r="107" spans="1:12" x14ac:dyDescent="0.2">
      <c r="A107">
        <v>106</v>
      </c>
      <c r="B107" s="1">
        <v>42919</v>
      </c>
      <c r="C107" t="s">
        <v>18</v>
      </c>
      <c r="D107" t="s">
        <v>19</v>
      </c>
      <c r="E107" t="s">
        <v>24</v>
      </c>
      <c r="F107">
        <v>47</v>
      </c>
      <c r="G107">
        <v>5436</v>
      </c>
      <c r="H107">
        <v>4</v>
      </c>
      <c r="I107">
        <v>4</v>
      </c>
      <c r="J107" t="s">
        <v>15</v>
      </c>
      <c r="K107" t="s">
        <v>32</v>
      </c>
      <c r="L107" t="s">
        <v>21</v>
      </c>
    </row>
    <row r="108" spans="1:12" x14ac:dyDescent="0.2">
      <c r="A108">
        <v>107</v>
      </c>
      <c r="B108" s="1">
        <v>45048</v>
      </c>
      <c r="C108" t="s">
        <v>18</v>
      </c>
      <c r="D108" t="s">
        <v>19</v>
      </c>
      <c r="E108" t="s">
        <v>14</v>
      </c>
      <c r="F108">
        <v>23</v>
      </c>
      <c r="G108">
        <v>4463</v>
      </c>
      <c r="H108">
        <v>7</v>
      </c>
      <c r="I108">
        <v>2</v>
      </c>
      <c r="J108" t="s">
        <v>20</v>
      </c>
      <c r="K108" t="s">
        <v>32</v>
      </c>
      <c r="L108" t="s">
        <v>39</v>
      </c>
    </row>
    <row r="109" spans="1:12" x14ac:dyDescent="0.2">
      <c r="A109">
        <v>108</v>
      </c>
      <c r="B109" s="1">
        <v>42197</v>
      </c>
      <c r="C109" t="s">
        <v>18</v>
      </c>
      <c r="D109" t="s">
        <v>26</v>
      </c>
      <c r="E109" t="s">
        <v>14</v>
      </c>
      <c r="F109">
        <v>60</v>
      </c>
      <c r="G109">
        <v>9428</v>
      </c>
      <c r="H109">
        <v>8</v>
      </c>
      <c r="I109">
        <v>5</v>
      </c>
      <c r="J109" t="s">
        <v>15</v>
      </c>
      <c r="K109" t="s">
        <v>27</v>
      </c>
      <c r="L109" t="s">
        <v>17</v>
      </c>
    </row>
    <row r="110" spans="1:12" x14ac:dyDescent="0.2">
      <c r="A110">
        <v>109</v>
      </c>
      <c r="B110" s="1">
        <v>45039</v>
      </c>
      <c r="C110" t="s">
        <v>28</v>
      </c>
      <c r="D110" t="s">
        <v>29</v>
      </c>
      <c r="E110" t="s">
        <v>24</v>
      </c>
      <c r="F110">
        <v>52</v>
      </c>
      <c r="G110">
        <v>8345</v>
      </c>
      <c r="H110">
        <v>8</v>
      </c>
      <c r="I110">
        <v>3</v>
      </c>
      <c r="J110" t="s">
        <v>15</v>
      </c>
      <c r="K110" t="s">
        <v>32</v>
      </c>
      <c r="L110" t="s">
        <v>25</v>
      </c>
    </row>
    <row r="111" spans="1:12" x14ac:dyDescent="0.2">
      <c r="A111">
        <v>110</v>
      </c>
      <c r="B111" s="1">
        <v>43278</v>
      </c>
      <c r="C111" t="s">
        <v>12</v>
      </c>
      <c r="D111" t="s">
        <v>13</v>
      </c>
      <c r="E111" t="s">
        <v>14</v>
      </c>
      <c r="F111">
        <v>44</v>
      </c>
      <c r="G111">
        <v>11736</v>
      </c>
      <c r="H111">
        <v>15</v>
      </c>
      <c r="I111">
        <v>4</v>
      </c>
      <c r="J111" t="s">
        <v>20</v>
      </c>
      <c r="K111" t="s">
        <v>27</v>
      </c>
      <c r="L111" t="s">
        <v>25</v>
      </c>
    </row>
    <row r="112" spans="1:12" x14ac:dyDescent="0.2">
      <c r="A112">
        <v>111</v>
      </c>
      <c r="B112" s="1">
        <v>44430</v>
      </c>
      <c r="C112" t="s">
        <v>30</v>
      </c>
      <c r="D112" t="s">
        <v>38</v>
      </c>
      <c r="E112" t="s">
        <v>14</v>
      </c>
      <c r="F112">
        <v>38</v>
      </c>
      <c r="G112">
        <v>17026</v>
      </c>
      <c r="H112">
        <v>11</v>
      </c>
      <c r="I112">
        <v>3</v>
      </c>
      <c r="J112" t="s">
        <v>20</v>
      </c>
      <c r="K112" t="s">
        <v>27</v>
      </c>
      <c r="L112" t="s">
        <v>21</v>
      </c>
    </row>
    <row r="113" spans="1:12" x14ac:dyDescent="0.2">
      <c r="A113">
        <v>112</v>
      </c>
      <c r="B113" s="1">
        <v>40642</v>
      </c>
      <c r="C113" t="s">
        <v>12</v>
      </c>
      <c r="D113" t="s">
        <v>13</v>
      </c>
      <c r="E113" t="s">
        <v>24</v>
      </c>
      <c r="F113">
        <v>43</v>
      </c>
      <c r="G113">
        <v>12957</v>
      </c>
      <c r="H113">
        <v>9</v>
      </c>
      <c r="I113">
        <v>2</v>
      </c>
      <c r="J113" t="s">
        <v>20</v>
      </c>
      <c r="K113" t="s">
        <v>32</v>
      </c>
      <c r="L113" t="s">
        <v>39</v>
      </c>
    </row>
    <row r="114" spans="1:12" x14ac:dyDescent="0.2">
      <c r="A114">
        <v>113</v>
      </c>
      <c r="B114" s="1">
        <v>40272</v>
      </c>
      <c r="C114" t="s">
        <v>18</v>
      </c>
      <c r="D114" t="s">
        <v>26</v>
      </c>
      <c r="E114" t="s">
        <v>14</v>
      </c>
      <c r="F114">
        <v>52</v>
      </c>
      <c r="G114">
        <v>19668</v>
      </c>
      <c r="H114">
        <v>2</v>
      </c>
      <c r="I114">
        <v>3</v>
      </c>
      <c r="J114" t="s">
        <v>20</v>
      </c>
      <c r="K114" t="s">
        <v>32</v>
      </c>
      <c r="L114" t="s">
        <v>34</v>
      </c>
    </row>
    <row r="115" spans="1:12" x14ac:dyDescent="0.2">
      <c r="A115">
        <v>114</v>
      </c>
      <c r="B115" s="1">
        <v>44607</v>
      </c>
      <c r="C115" t="s">
        <v>22</v>
      </c>
      <c r="D115" t="s">
        <v>23</v>
      </c>
      <c r="E115" t="s">
        <v>24</v>
      </c>
      <c r="F115">
        <v>44</v>
      </c>
      <c r="G115">
        <v>16327</v>
      </c>
      <c r="H115">
        <v>10</v>
      </c>
      <c r="I115">
        <v>2</v>
      </c>
      <c r="J115" t="s">
        <v>20</v>
      </c>
      <c r="K115" t="s">
        <v>27</v>
      </c>
      <c r="L115" t="s">
        <v>17</v>
      </c>
    </row>
    <row r="116" spans="1:12" x14ac:dyDescent="0.2">
      <c r="A116">
        <v>115</v>
      </c>
      <c r="B116" s="1">
        <v>40625</v>
      </c>
      <c r="C116" t="s">
        <v>18</v>
      </c>
      <c r="D116" t="s">
        <v>19</v>
      </c>
      <c r="E116" t="s">
        <v>24</v>
      </c>
      <c r="F116">
        <v>23</v>
      </c>
      <c r="G116">
        <v>4421</v>
      </c>
      <c r="H116">
        <v>4</v>
      </c>
      <c r="I116">
        <v>3</v>
      </c>
      <c r="J116" t="s">
        <v>15</v>
      </c>
      <c r="K116" t="s">
        <v>27</v>
      </c>
      <c r="L116" t="s">
        <v>39</v>
      </c>
    </row>
    <row r="117" spans="1:12" x14ac:dyDescent="0.2">
      <c r="A117">
        <v>116</v>
      </c>
      <c r="B117" s="1">
        <v>45118</v>
      </c>
      <c r="C117" t="s">
        <v>12</v>
      </c>
      <c r="D117" t="s">
        <v>13</v>
      </c>
      <c r="E117" t="s">
        <v>14</v>
      </c>
      <c r="F117">
        <v>43</v>
      </c>
      <c r="G117">
        <v>9502</v>
      </c>
      <c r="H117">
        <v>7</v>
      </c>
      <c r="I117">
        <v>1</v>
      </c>
      <c r="J117" t="s">
        <v>15</v>
      </c>
      <c r="K117" t="s">
        <v>16</v>
      </c>
      <c r="L117" t="s">
        <v>34</v>
      </c>
    </row>
    <row r="118" spans="1:12" x14ac:dyDescent="0.2">
      <c r="A118">
        <v>117</v>
      </c>
      <c r="B118" s="1">
        <v>41477</v>
      </c>
      <c r="C118" t="s">
        <v>12</v>
      </c>
      <c r="D118" t="s">
        <v>13</v>
      </c>
      <c r="E118" t="s">
        <v>14</v>
      </c>
      <c r="F118">
        <v>59</v>
      </c>
      <c r="G118">
        <v>17664</v>
      </c>
      <c r="H118">
        <v>14</v>
      </c>
      <c r="I118">
        <v>4</v>
      </c>
      <c r="J118" t="s">
        <v>20</v>
      </c>
      <c r="K118" t="s">
        <v>16</v>
      </c>
      <c r="L118" t="s">
        <v>25</v>
      </c>
    </row>
    <row r="119" spans="1:12" x14ac:dyDescent="0.2">
      <c r="A119">
        <v>118</v>
      </c>
      <c r="B119" s="1">
        <v>43624</v>
      </c>
      <c r="C119" t="s">
        <v>30</v>
      </c>
      <c r="D119" t="s">
        <v>31</v>
      </c>
      <c r="E119" t="s">
        <v>14</v>
      </c>
      <c r="F119">
        <v>39</v>
      </c>
      <c r="G119">
        <v>16040</v>
      </c>
      <c r="H119">
        <v>0</v>
      </c>
      <c r="I119">
        <v>1</v>
      </c>
      <c r="J119" t="s">
        <v>15</v>
      </c>
      <c r="K119" t="s">
        <v>32</v>
      </c>
      <c r="L119" t="s">
        <v>17</v>
      </c>
    </row>
    <row r="120" spans="1:12" x14ac:dyDescent="0.2">
      <c r="A120">
        <v>119</v>
      </c>
      <c r="B120" s="1">
        <v>41106</v>
      </c>
      <c r="C120" t="s">
        <v>36</v>
      </c>
      <c r="D120" t="s">
        <v>37</v>
      </c>
      <c r="E120" t="s">
        <v>24</v>
      </c>
      <c r="F120">
        <v>50</v>
      </c>
      <c r="G120">
        <v>10952</v>
      </c>
      <c r="H120">
        <v>6</v>
      </c>
      <c r="I120">
        <v>5</v>
      </c>
      <c r="J120" t="s">
        <v>20</v>
      </c>
      <c r="K120" t="s">
        <v>32</v>
      </c>
      <c r="L120" t="s">
        <v>39</v>
      </c>
    </row>
    <row r="121" spans="1:12" x14ac:dyDescent="0.2">
      <c r="A121">
        <v>120</v>
      </c>
      <c r="B121" s="1">
        <v>41840</v>
      </c>
      <c r="C121" t="s">
        <v>12</v>
      </c>
      <c r="D121" t="s">
        <v>13</v>
      </c>
      <c r="E121" t="s">
        <v>14</v>
      </c>
      <c r="F121">
        <v>23</v>
      </c>
      <c r="G121">
        <v>16765</v>
      </c>
      <c r="H121">
        <v>14</v>
      </c>
      <c r="I121">
        <v>3</v>
      </c>
      <c r="J121" t="s">
        <v>20</v>
      </c>
      <c r="K121" t="s">
        <v>27</v>
      </c>
      <c r="L121" t="s">
        <v>25</v>
      </c>
    </row>
    <row r="122" spans="1:12" x14ac:dyDescent="0.2">
      <c r="A122">
        <v>121</v>
      </c>
      <c r="B122" s="1">
        <v>40643</v>
      </c>
      <c r="C122" t="s">
        <v>18</v>
      </c>
      <c r="D122" t="s">
        <v>26</v>
      </c>
      <c r="E122" t="s">
        <v>24</v>
      </c>
      <c r="F122">
        <v>28</v>
      </c>
      <c r="G122">
        <v>8191</v>
      </c>
      <c r="H122">
        <v>14</v>
      </c>
      <c r="I122">
        <v>4</v>
      </c>
      <c r="J122" t="s">
        <v>15</v>
      </c>
      <c r="K122" t="s">
        <v>16</v>
      </c>
      <c r="L122" t="s">
        <v>25</v>
      </c>
    </row>
    <row r="123" spans="1:12" x14ac:dyDescent="0.2">
      <c r="A123">
        <v>122</v>
      </c>
      <c r="B123" s="1">
        <v>42697</v>
      </c>
      <c r="C123" t="s">
        <v>36</v>
      </c>
      <c r="D123" t="s">
        <v>37</v>
      </c>
      <c r="E123" t="s">
        <v>24</v>
      </c>
      <c r="F123">
        <v>49</v>
      </c>
      <c r="G123">
        <v>12471</v>
      </c>
      <c r="H123">
        <v>10</v>
      </c>
      <c r="I123">
        <v>3</v>
      </c>
      <c r="J123" t="s">
        <v>15</v>
      </c>
      <c r="K123" t="s">
        <v>16</v>
      </c>
      <c r="L123" t="s">
        <v>21</v>
      </c>
    </row>
    <row r="124" spans="1:12" x14ac:dyDescent="0.2">
      <c r="A124">
        <v>123</v>
      </c>
      <c r="B124" s="1">
        <v>44066</v>
      </c>
      <c r="C124" t="s">
        <v>18</v>
      </c>
      <c r="D124" t="s">
        <v>19</v>
      </c>
      <c r="E124" t="s">
        <v>14</v>
      </c>
      <c r="F124">
        <v>22</v>
      </c>
      <c r="G124">
        <v>6541</v>
      </c>
      <c r="H124">
        <v>14</v>
      </c>
      <c r="I124">
        <v>5</v>
      </c>
      <c r="J124" t="s">
        <v>20</v>
      </c>
      <c r="K124" t="s">
        <v>32</v>
      </c>
      <c r="L124" t="s">
        <v>34</v>
      </c>
    </row>
    <row r="125" spans="1:12" x14ac:dyDescent="0.2">
      <c r="A125">
        <v>124</v>
      </c>
      <c r="B125" s="1">
        <v>43817</v>
      </c>
      <c r="C125" t="s">
        <v>22</v>
      </c>
      <c r="D125" t="s">
        <v>35</v>
      </c>
      <c r="E125" t="s">
        <v>24</v>
      </c>
      <c r="F125">
        <v>22</v>
      </c>
      <c r="G125">
        <v>17819</v>
      </c>
      <c r="H125">
        <v>8</v>
      </c>
      <c r="I125">
        <v>3</v>
      </c>
      <c r="J125" t="s">
        <v>15</v>
      </c>
      <c r="K125" t="s">
        <v>16</v>
      </c>
      <c r="L125" t="s">
        <v>17</v>
      </c>
    </row>
    <row r="126" spans="1:12" x14ac:dyDescent="0.2">
      <c r="A126">
        <v>125</v>
      </c>
      <c r="B126" s="1">
        <v>44007</v>
      </c>
      <c r="C126" t="s">
        <v>22</v>
      </c>
      <c r="D126" t="s">
        <v>23</v>
      </c>
      <c r="E126" t="s">
        <v>24</v>
      </c>
      <c r="F126">
        <v>30</v>
      </c>
      <c r="G126">
        <v>11987</v>
      </c>
      <c r="H126">
        <v>5</v>
      </c>
      <c r="I126">
        <v>2</v>
      </c>
      <c r="J126" t="s">
        <v>20</v>
      </c>
      <c r="K126" t="s">
        <v>32</v>
      </c>
      <c r="L126" t="s">
        <v>39</v>
      </c>
    </row>
    <row r="127" spans="1:12" x14ac:dyDescent="0.2">
      <c r="A127">
        <v>126</v>
      </c>
      <c r="B127" s="1">
        <v>40800</v>
      </c>
      <c r="C127" t="s">
        <v>18</v>
      </c>
      <c r="D127" t="s">
        <v>26</v>
      </c>
      <c r="E127" t="s">
        <v>24</v>
      </c>
      <c r="F127">
        <v>60</v>
      </c>
      <c r="G127">
        <v>10297</v>
      </c>
      <c r="H127">
        <v>1</v>
      </c>
      <c r="I127">
        <v>4</v>
      </c>
      <c r="J127" t="s">
        <v>15</v>
      </c>
      <c r="K127" t="s">
        <v>16</v>
      </c>
      <c r="L127" t="s">
        <v>34</v>
      </c>
    </row>
    <row r="128" spans="1:12" x14ac:dyDescent="0.2">
      <c r="A128">
        <v>127</v>
      </c>
      <c r="B128" s="1">
        <v>40223</v>
      </c>
      <c r="C128" t="s">
        <v>30</v>
      </c>
      <c r="D128" t="s">
        <v>31</v>
      </c>
      <c r="E128" t="s">
        <v>14</v>
      </c>
      <c r="F128">
        <v>37</v>
      </c>
      <c r="G128">
        <v>19206</v>
      </c>
      <c r="H128">
        <v>14</v>
      </c>
      <c r="I128">
        <v>2</v>
      </c>
      <c r="J128" t="s">
        <v>15</v>
      </c>
      <c r="K128" t="s">
        <v>32</v>
      </c>
      <c r="L128" t="s">
        <v>25</v>
      </c>
    </row>
    <row r="129" spans="1:12" x14ac:dyDescent="0.2">
      <c r="A129">
        <v>128</v>
      </c>
      <c r="B129" s="1">
        <v>44367</v>
      </c>
      <c r="C129" t="s">
        <v>28</v>
      </c>
      <c r="D129" t="s">
        <v>33</v>
      </c>
      <c r="E129" t="s">
        <v>14</v>
      </c>
      <c r="F129">
        <v>25</v>
      </c>
      <c r="G129">
        <v>7068</v>
      </c>
      <c r="H129">
        <v>3</v>
      </c>
      <c r="I129">
        <v>1</v>
      </c>
      <c r="J129" t="s">
        <v>20</v>
      </c>
      <c r="K129" t="s">
        <v>27</v>
      </c>
      <c r="L129" t="s">
        <v>17</v>
      </c>
    </row>
    <row r="130" spans="1:12" x14ac:dyDescent="0.2">
      <c r="A130">
        <v>129</v>
      </c>
      <c r="B130" s="1">
        <v>43027</v>
      </c>
      <c r="C130" t="s">
        <v>22</v>
      </c>
      <c r="D130" t="s">
        <v>23</v>
      </c>
      <c r="E130" t="s">
        <v>24</v>
      </c>
      <c r="F130">
        <v>52</v>
      </c>
      <c r="G130">
        <v>17976</v>
      </c>
      <c r="H130">
        <v>9</v>
      </c>
      <c r="I130">
        <v>1</v>
      </c>
      <c r="J130" t="s">
        <v>20</v>
      </c>
      <c r="K130" t="s">
        <v>27</v>
      </c>
      <c r="L130" t="s">
        <v>25</v>
      </c>
    </row>
    <row r="131" spans="1:12" x14ac:dyDescent="0.2">
      <c r="A131">
        <v>130</v>
      </c>
      <c r="B131" s="1">
        <v>44348</v>
      </c>
      <c r="C131" t="s">
        <v>18</v>
      </c>
      <c r="D131" t="s">
        <v>19</v>
      </c>
      <c r="E131" t="s">
        <v>14</v>
      </c>
      <c r="F131">
        <v>24</v>
      </c>
      <c r="G131">
        <v>18541</v>
      </c>
      <c r="H131">
        <v>12</v>
      </c>
      <c r="I131">
        <v>4</v>
      </c>
      <c r="J131" t="s">
        <v>20</v>
      </c>
      <c r="K131" t="s">
        <v>27</v>
      </c>
      <c r="L131" t="s">
        <v>17</v>
      </c>
    </row>
    <row r="132" spans="1:12" x14ac:dyDescent="0.2">
      <c r="A132">
        <v>131</v>
      </c>
      <c r="B132" s="1">
        <v>40349</v>
      </c>
      <c r="C132" t="s">
        <v>36</v>
      </c>
      <c r="D132" t="s">
        <v>37</v>
      </c>
      <c r="E132" t="s">
        <v>24</v>
      </c>
      <c r="F132">
        <v>26</v>
      </c>
      <c r="G132">
        <v>4425</v>
      </c>
      <c r="H132">
        <v>9</v>
      </c>
      <c r="I132">
        <v>4</v>
      </c>
      <c r="J132" t="s">
        <v>20</v>
      </c>
      <c r="K132" t="s">
        <v>27</v>
      </c>
      <c r="L132" t="s">
        <v>25</v>
      </c>
    </row>
    <row r="133" spans="1:12" x14ac:dyDescent="0.2">
      <c r="A133">
        <v>132</v>
      </c>
      <c r="B133" s="1">
        <v>42258</v>
      </c>
      <c r="C133" t="s">
        <v>12</v>
      </c>
      <c r="D133" t="s">
        <v>41</v>
      </c>
      <c r="E133" t="s">
        <v>14</v>
      </c>
      <c r="F133">
        <v>59</v>
      </c>
      <c r="G133">
        <v>8160</v>
      </c>
      <c r="H133">
        <v>13</v>
      </c>
      <c r="I133">
        <v>1</v>
      </c>
      <c r="J133" t="s">
        <v>20</v>
      </c>
      <c r="K133" t="s">
        <v>16</v>
      </c>
      <c r="L133" t="s">
        <v>21</v>
      </c>
    </row>
    <row r="134" spans="1:12" x14ac:dyDescent="0.2">
      <c r="A134">
        <v>133</v>
      </c>
      <c r="B134" s="1">
        <v>43345</v>
      </c>
      <c r="C134" t="s">
        <v>28</v>
      </c>
      <c r="D134" t="s">
        <v>29</v>
      </c>
      <c r="E134" t="s">
        <v>14</v>
      </c>
      <c r="F134">
        <v>52</v>
      </c>
      <c r="G134">
        <v>9881</v>
      </c>
      <c r="H134">
        <v>12</v>
      </c>
      <c r="I134">
        <v>4</v>
      </c>
      <c r="J134" t="s">
        <v>20</v>
      </c>
      <c r="K134" t="s">
        <v>32</v>
      </c>
      <c r="L134" t="s">
        <v>17</v>
      </c>
    </row>
    <row r="135" spans="1:12" x14ac:dyDescent="0.2">
      <c r="A135">
        <v>134</v>
      </c>
      <c r="B135" s="1">
        <v>42038</v>
      </c>
      <c r="C135" t="s">
        <v>22</v>
      </c>
      <c r="D135" t="s">
        <v>35</v>
      </c>
      <c r="E135" t="s">
        <v>24</v>
      </c>
      <c r="F135">
        <v>53</v>
      </c>
      <c r="G135">
        <v>9130</v>
      </c>
      <c r="H135">
        <v>7</v>
      </c>
      <c r="I135">
        <v>5</v>
      </c>
      <c r="J135" t="s">
        <v>20</v>
      </c>
      <c r="K135" t="s">
        <v>27</v>
      </c>
      <c r="L135" t="s">
        <v>21</v>
      </c>
    </row>
    <row r="136" spans="1:12" x14ac:dyDescent="0.2">
      <c r="A136">
        <v>135</v>
      </c>
      <c r="B136" s="1">
        <v>42065</v>
      </c>
      <c r="C136" t="s">
        <v>36</v>
      </c>
      <c r="D136" t="s">
        <v>37</v>
      </c>
      <c r="E136" t="s">
        <v>24</v>
      </c>
      <c r="F136">
        <v>24</v>
      </c>
      <c r="G136">
        <v>17355</v>
      </c>
      <c r="H136">
        <v>10</v>
      </c>
      <c r="I136">
        <v>5</v>
      </c>
      <c r="J136" t="s">
        <v>20</v>
      </c>
      <c r="K136" t="s">
        <v>16</v>
      </c>
      <c r="L136" t="s">
        <v>39</v>
      </c>
    </row>
    <row r="137" spans="1:12" x14ac:dyDescent="0.2">
      <c r="A137">
        <v>136</v>
      </c>
      <c r="B137" s="1">
        <v>41456</v>
      </c>
      <c r="C137" t="s">
        <v>18</v>
      </c>
      <c r="D137" t="s">
        <v>19</v>
      </c>
      <c r="E137" t="s">
        <v>24</v>
      </c>
      <c r="F137">
        <v>51</v>
      </c>
      <c r="G137">
        <v>4966</v>
      </c>
      <c r="H137">
        <v>10</v>
      </c>
      <c r="I137">
        <v>3</v>
      </c>
      <c r="J137" t="s">
        <v>15</v>
      </c>
      <c r="K137" t="s">
        <v>27</v>
      </c>
      <c r="L137" t="s">
        <v>34</v>
      </c>
    </row>
    <row r="138" spans="1:12" x14ac:dyDescent="0.2">
      <c r="A138">
        <v>137</v>
      </c>
      <c r="B138" s="1">
        <v>42336</v>
      </c>
      <c r="C138" t="s">
        <v>18</v>
      </c>
      <c r="D138" t="s">
        <v>19</v>
      </c>
      <c r="E138" t="s">
        <v>14</v>
      </c>
      <c r="F138">
        <v>41</v>
      </c>
      <c r="G138">
        <v>7084</v>
      </c>
      <c r="H138">
        <v>5</v>
      </c>
      <c r="I138">
        <v>1</v>
      </c>
      <c r="J138" t="s">
        <v>20</v>
      </c>
      <c r="K138" t="s">
        <v>16</v>
      </c>
      <c r="L138" t="s">
        <v>21</v>
      </c>
    </row>
    <row r="139" spans="1:12" x14ac:dyDescent="0.2">
      <c r="A139">
        <v>138</v>
      </c>
      <c r="B139" s="1">
        <v>44143</v>
      </c>
      <c r="C139" t="s">
        <v>36</v>
      </c>
      <c r="D139" t="s">
        <v>40</v>
      </c>
      <c r="E139" t="s">
        <v>24</v>
      </c>
      <c r="F139">
        <v>57</v>
      </c>
      <c r="G139">
        <v>12768</v>
      </c>
      <c r="H139">
        <v>10</v>
      </c>
      <c r="I139">
        <v>1</v>
      </c>
      <c r="J139" t="s">
        <v>15</v>
      </c>
      <c r="K139" t="s">
        <v>27</v>
      </c>
      <c r="L139" t="s">
        <v>17</v>
      </c>
    </row>
    <row r="140" spans="1:12" x14ac:dyDescent="0.2">
      <c r="A140">
        <v>139</v>
      </c>
      <c r="B140" s="1">
        <v>42346</v>
      </c>
      <c r="C140" t="s">
        <v>18</v>
      </c>
      <c r="D140" t="s">
        <v>26</v>
      </c>
      <c r="E140" t="s">
        <v>24</v>
      </c>
      <c r="F140">
        <v>53</v>
      </c>
      <c r="G140">
        <v>13871</v>
      </c>
      <c r="H140">
        <v>1</v>
      </c>
      <c r="I140">
        <v>5</v>
      </c>
      <c r="J140" t="s">
        <v>20</v>
      </c>
      <c r="K140" t="s">
        <v>27</v>
      </c>
      <c r="L140" t="s">
        <v>34</v>
      </c>
    </row>
    <row r="141" spans="1:12" x14ac:dyDescent="0.2">
      <c r="A141">
        <v>140</v>
      </c>
      <c r="B141" s="1">
        <v>45056</v>
      </c>
      <c r="C141" t="s">
        <v>12</v>
      </c>
      <c r="D141" t="s">
        <v>13</v>
      </c>
      <c r="E141" t="s">
        <v>14</v>
      </c>
      <c r="F141">
        <v>31</v>
      </c>
      <c r="G141">
        <v>9724</v>
      </c>
      <c r="H141">
        <v>12</v>
      </c>
      <c r="I141">
        <v>2</v>
      </c>
      <c r="J141" t="s">
        <v>15</v>
      </c>
      <c r="K141" t="s">
        <v>16</v>
      </c>
      <c r="L141" t="s">
        <v>39</v>
      </c>
    </row>
    <row r="142" spans="1:12" x14ac:dyDescent="0.2">
      <c r="A142">
        <v>141</v>
      </c>
      <c r="B142" s="1">
        <v>44391</v>
      </c>
      <c r="C142" t="s">
        <v>30</v>
      </c>
      <c r="D142" t="s">
        <v>31</v>
      </c>
      <c r="E142" t="s">
        <v>14</v>
      </c>
      <c r="F142">
        <v>36</v>
      </c>
      <c r="G142">
        <v>17483</v>
      </c>
      <c r="H142">
        <v>14</v>
      </c>
      <c r="I142">
        <v>2</v>
      </c>
      <c r="J142" t="s">
        <v>15</v>
      </c>
      <c r="K142" t="s">
        <v>27</v>
      </c>
      <c r="L142" t="s">
        <v>34</v>
      </c>
    </row>
    <row r="143" spans="1:12" x14ac:dyDescent="0.2">
      <c r="A143">
        <v>142</v>
      </c>
      <c r="B143" s="1">
        <v>43568</v>
      </c>
      <c r="C143" t="s">
        <v>18</v>
      </c>
      <c r="D143" t="s">
        <v>26</v>
      </c>
      <c r="E143" t="s">
        <v>24</v>
      </c>
      <c r="F143">
        <v>56</v>
      </c>
      <c r="G143">
        <v>16902</v>
      </c>
      <c r="H143">
        <v>15</v>
      </c>
      <c r="I143">
        <v>1</v>
      </c>
      <c r="J143" t="s">
        <v>15</v>
      </c>
      <c r="K143" t="s">
        <v>32</v>
      </c>
      <c r="L143" t="s">
        <v>21</v>
      </c>
    </row>
    <row r="144" spans="1:12" x14ac:dyDescent="0.2">
      <c r="A144">
        <v>143</v>
      </c>
      <c r="B144" s="1">
        <v>44899</v>
      </c>
      <c r="C144" t="s">
        <v>36</v>
      </c>
      <c r="D144" t="s">
        <v>42</v>
      </c>
      <c r="E144" t="s">
        <v>24</v>
      </c>
      <c r="F144">
        <v>43</v>
      </c>
      <c r="G144">
        <v>17122</v>
      </c>
      <c r="H144">
        <v>12</v>
      </c>
      <c r="I144">
        <v>3</v>
      </c>
      <c r="J144" t="s">
        <v>20</v>
      </c>
      <c r="K144" t="s">
        <v>32</v>
      </c>
      <c r="L144" t="s">
        <v>39</v>
      </c>
    </row>
    <row r="145" spans="1:12" x14ac:dyDescent="0.2">
      <c r="A145">
        <v>144</v>
      </c>
      <c r="B145" s="1">
        <v>43864</v>
      </c>
      <c r="C145" t="s">
        <v>12</v>
      </c>
      <c r="D145" t="s">
        <v>41</v>
      </c>
      <c r="E145" t="s">
        <v>24</v>
      </c>
      <c r="F145">
        <v>24</v>
      </c>
      <c r="G145">
        <v>17264</v>
      </c>
      <c r="H145">
        <v>13</v>
      </c>
      <c r="I145">
        <v>2</v>
      </c>
      <c r="J145" t="s">
        <v>20</v>
      </c>
      <c r="K145" t="s">
        <v>32</v>
      </c>
      <c r="L145" t="s">
        <v>34</v>
      </c>
    </row>
    <row r="146" spans="1:12" x14ac:dyDescent="0.2">
      <c r="A146">
        <v>145</v>
      </c>
      <c r="B146" s="1">
        <v>41675</v>
      </c>
      <c r="C146" t="s">
        <v>30</v>
      </c>
      <c r="D146" t="s">
        <v>38</v>
      </c>
      <c r="E146" t="s">
        <v>14</v>
      </c>
      <c r="F146">
        <v>48</v>
      </c>
      <c r="G146">
        <v>14050</v>
      </c>
      <c r="H146">
        <v>7</v>
      </c>
      <c r="I146">
        <v>1</v>
      </c>
      <c r="J146" t="s">
        <v>20</v>
      </c>
      <c r="K146" t="s">
        <v>16</v>
      </c>
      <c r="L146" t="s">
        <v>34</v>
      </c>
    </row>
    <row r="147" spans="1:12" x14ac:dyDescent="0.2">
      <c r="A147">
        <v>146</v>
      </c>
      <c r="B147" s="1">
        <v>43506</v>
      </c>
      <c r="C147" t="s">
        <v>28</v>
      </c>
      <c r="D147" t="s">
        <v>29</v>
      </c>
      <c r="E147" t="s">
        <v>14</v>
      </c>
      <c r="F147">
        <v>49</v>
      </c>
      <c r="G147">
        <v>8500</v>
      </c>
      <c r="H147">
        <v>9</v>
      </c>
      <c r="I147">
        <v>1</v>
      </c>
      <c r="J147" t="s">
        <v>15</v>
      </c>
      <c r="K147" t="s">
        <v>32</v>
      </c>
      <c r="L147" t="s">
        <v>25</v>
      </c>
    </row>
    <row r="148" spans="1:12" x14ac:dyDescent="0.2">
      <c r="A148">
        <v>147</v>
      </c>
      <c r="B148" s="1">
        <v>43425</v>
      </c>
      <c r="C148" t="s">
        <v>22</v>
      </c>
      <c r="D148" t="s">
        <v>35</v>
      </c>
      <c r="E148" t="s">
        <v>14</v>
      </c>
      <c r="F148">
        <v>24</v>
      </c>
      <c r="G148">
        <v>9169</v>
      </c>
      <c r="H148">
        <v>6</v>
      </c>
      <c r="I148">
        <v>2</v>
      </c>
      <c r="J148" t="s">
        <v>20</v>
      </c>
      <c r="K148" t="s">
        <v>16</v>
      </c>
      <c r="L148" t="s">
        <v>34</v>
      </c>
    </row>
    <row r="149" spans="1:12" x14ac:dyDescent="0.2">
      <c r="A149">
        <v>148</v>
      </c>
      <c r="B149" s="1">
        <v>40733</v>
      </c>
      <c r="C149" t="s">
        <v>12</v>
      </c>
      <c r="D149" t="s">
        <v>13</v>
      </c>
      <c r="E149" t="s">
        <v>14</v>
      </c>
      <c r="F149">
        <v>32</v>
      </c>
      <c r="G149">
        <v>5336</v>
      </c>
      <c r="H149">
        <v>13</v>
      </c>
      <c r="I149">
        <v>4</v>
      </c>
      <c r="J149" t="s">
        <v>20</v>
      </c>
      <c r="K149" t="s">
        <v>27</v>
      </c>
      <c r="L149" t="s">
        <v>39</v>
      </c>
    </row>
    <row r="150" spans="1:12" x14ac:dyDescent="0.2">
      <c r="A150">
        <v>149</v>
      </c>
      <c r="B150" s="1">
        <v>43923</v>
      </c>
      <c r="C150" t="s">
        <v>30</v>
      </c>
      <c r="D150" t="s">
        <v>38</v>
      </c>
      <c r="E150" t="s">
        <v>24</v>
      </c>
      <c r="F150">
        <v>29</v>
      </c>
      <c r="G150">
        <v>13580</v>
      </c>
      <c r="H150">
        <v>2</v>
      </c>
      <c r="I150">
        <v>2</v>
      </c>
      <c r="J150" t="s">
        <v>15</v>
      </c>
      <c r="K150" t="s">
        <v>27</v>
      </c>
      <c r="L150" t="s">
        <v>39</v>
      </c>
    </row>
    <row r="151" spans="1:12" x14ac:dyDescent="0.2">
      <c r="A151">
        <v>150</v>
      </c>
      <c r="B151" s="1">
        <v>44162</v>
      </c>
      <c r="C151" t="s">
        <v>30</v>
      </c>
      <c r="D151" t="s">
        <v>38</v>
      </c>
      <c r="E151" t="s">
        <v>24</v>
      </c>
      <c r="F151">
        <v>56</v>
      </c>
      <c r="G151">
        <v>8940</v>
      </c>
      <c r="H151">
        <v>4</v>
      </c>
      <c r="I151">
        <v>3</v>
      </c>
      <c r="J151" t="s">
        <v>15</v>
      </c>
      <c r="K151" t="s">
        <v>32</v>
      </c>
      <c r="L151" t="s">
        <v>17</v>
      </c>
    </row>
    <row r="152" spans="1:12" x14ac:dyDescent="0.2">
      <c r="A152">
        <v>151</v>
      </c>
      <c r="B152" s="1">
        <v>42152</v>
      </c>
      <c r="C152" t="s">
        <v>36</v>
      </c>
      <c r="D152" t="s">
        <v>37</v>
      </c>
      <c r="E152" t="s">
        <v>24</v>
      </c>
      <c r="F152">
        <v>38</v>
      </c>
      <c r="G152">
        <v>18786</v>
      </c>
      <c r="H152">
        <v>6</v>
      </c>
      <c r="I152">
        <v>5</v>
      </c>
      <c r="J152" t="s">
        <v>20</v>
      </c>
      <c r="K152" t="s">
        <v>32</v>
      </c>
      <c r="L152" t="s">
        <v>25</v>
      </c>
    </row>
    <row r="153" spans="1:12" x14ac:dyDescent="0.2">
      <c r="A153">
        <v>152</v>
      </c>
      <c r="B153" s="1">
        <v>45109</v>
      </c>
      <c r="C153" t="s">
        <v>18</v>
      </c>
      <c r="D153" t="s">
        <v>26</v>
      </c>
      <c r="E153" t="s">
        <v>24</v>
      </c>
      <c r="F153">
        <v>45</v>
      </c>
      <c r="G153">
        <v>14729</v>
      </c>
      <c r="H153">
        <v>12</v>
      </c>
      <c r="I153">
        <v>3</v>
      </c>
      <c r="J153" t="s">
        <v>15</v>
      </c>
      <c r="K153" t="s">
        <v>27</v>
      </c>
      <c r="L153" t="s">
        <v>39</v>
      </c>
    </row>
    <row r="154" spans="1:12" x14ac:dyDescent="0.2">
      <c r="A154">
        <v>153</v>
      </c>
      <c r="B154" s="1">
        <v>41846</v>
      </c>
      <c r="C154" t="s">
        <v>36</v>
      </c>
      <c r="D154" t="s">
        <v>37</v>
      </c>
      <c r="E154" t="s">
        <v>24</v>
      </c>
      <c r="F154">
        <v>40</v>
      </c>
      <c r="G154">
        <v>6468</v>
      </c>
      <c r="H154">
        <v>4</v>
      </c>
      <c r="I154">
        <v>1</v>
      </c>
      <c r="J154" t="s">
        <v>20</v>
      </c>
      <c r="K154" t="s">
        <v>27</v>
      </c>
      <c r="L154" t="s">
        <v>25</v>
      </c>
    </row>
    <row r="155" spans="1:12" x14ac:dyDescent="0.2">
      <c r="A155">
        <v>154</v>
      </c>
      <c r="B155" s="1">
        <v>45041</v>
      </c>
      <c r="C155" t="s">
        <v>18</v>
      </c>
      <c r="D155" t="s">
        <v>26</v>
      </c>
      <c r="E155" t="s">
        <v>14</v>
      </c>
      <c r="F155">
        <v>47</v>
      </c>
      <c r="G155">
        <v>18330</v>
      </c>
      <c r="H155">
        <v>9</v>
      </c>
      <c r="I155">
        <v>1</v>
      </c>
      <c r="J155" t="s">
        <v>20</v>
      </c>
      <c r="K155" t="s">
        <v>32</v>
      </c>
      <c r="L155" t="s">
        <v>34</v>
      </c>
    </row>
    <row r="156" spans="1:12" x14ac:dyDescent="0.2">
      <c r="A156">
        <v>155</v>
      </c>
      <c r="B156" s="1">
        <v>42084</v>
      </c>
      <c r="C156" t="s">
        <v>12</v>
      </c>
      <c r="D156" t="s">
        <v>41</v>
      </c>
      <c r="E156" t="s">
        <v>24</v>
      </c>
      <c r="F156">
        <v>26</v>
      </c>
      <c r="G156">
        <v>7287</v>
      </c>
      <c r="H156">
        <v>4</v>
      </c>
      <c r="I156">
        <v>5</v>
      </c>
      <c r="J156" t="s">
        <v>15</v>
      </c>
      <c r="K156" t="s">
        <v>16</v>
      </c>
      <c r="L156" t="s">
        <v>39</v>
      </c>
    </row>
    <row r="157" spans="1:12" x14ac:dyDescent="0.2">
      <c r="A157">
        <v>156</v>
      </c>
      <c r="B157" s="1">
        <v>43392</v>
      </c>
      <c r="C157" t="s">
        <v>36</v>
      </c>
      <c r="D157" t="s">
        <v>42</v>
      </c>
      <c r="E157" t="s">
        <v>24</v>
      </c>
      <c r="F157">
        <v>45</v>
      </c>
      <c r="G157">
        <v>18789</v>
      </c>
      <c r="H157">
        <v>11</v>
      </c>
      <c r="I157">
        <v>1</v>
      </c>
      <c r="J157" t="s">
        <v>15</v>
      </c>
      <c r="K157" t="s">
        <v>32</v>
      </c>
      <c r="L157" t="s">
        <v>25</v>
      </c>
    </row>
    <row r="158" spans="1:12" x14ac:dyDescent="0.2">
      <c r="A158">
        <v>157</v>
      </c>
      <c r="B158" s="1">
        <v>43887</v>
      </c>
      <c r="C158" t="s">
        <v>22</v>
      </c>
      <c r="D158" t="s">
        <v>35</v>
      </c>
      <c r="E158" t="s">
        <v>24</v>
      </c>
      <c r="F158">
        <v>46</v>
      </c>
      <c r="G158">
        <v>17248</v>
      </c>
      <c r="H158">
        <v>7</v>
      </c>
      <c r="I158">
        <v>2</v>
      </c>
      <c r="J158" t="s">
        <v>20</v>
      </c>
      <c r="K158" t="s">
        <v>27</v>
      </c>
      <c r="L158" t="s">
        <v>21</v>
      </c>
    </row>
    <row r="159" spans="1:12" x14ac:dyDescent="0.2">
      <c r="A159">
        <v>158</v>
      </c>
      <c r="B159" s="1">
        <v>42679</v>
      </c>
      <c r="C159" t="s">
        <v>36</v>
      </c>
      <c r="D159" t="s">
        <v>42</v>
      </c>
      <c r="E159" t="s">
        <v>24</v>
      </c>
      <c r="F159">
        <v>43</v>
      </c>
      <c r="G159">
        <v>17261</v>
      </c>
      <c r="H159">
        <v>6</v>
      </c>
      <c r="I159">
        <v>5</v>
      </c>
      <c r="J159" t="s">
        <v>20</v>
      </c>
      <c r="K159" t="s">
        <v>16</v>
      </c>
      <c r="L159" t="s">
        <v>34</v>
      </c>
    </row>
    <row r="160" spans="1:12" x14ac:dyDescent="0.2">
      <c r="A160">
        <v>159</v>
      </c>
      <c r="B160" s="1">
        <v>41497</v>
      </c>
      <c r="C160" t="s">
        <v>30</v>
      </c>
      <c r="D160" t="s">
        <v>38</v>
      </c>
      <c r="E160" t="s">
        <v>14</v>
      </c>
      <c r="F160">
        <v>53</v>
      </c>
      <c r="G160">
        <v>15840</v>
      </c>
      <c r="H160">
        <v>0</v>
      </c>
      <c r="I160">
        <v>3</v>
      </c>
      <c r="J160" t="s">
        <v>20</v>
      </c>
      <c r="K160" t="s">
        <v>32</v>
      </c>
      <c r="L160" t="s">
        <v>34</v>
      </c>
    </row>
    <row r="161" spans="1:12" x14ac:dyDescent="0.2">
      <c r="A161">
        <v>160</v>
      </c>
      <c r="B161" s="1">
        <v>42536</v>
      </c>
      <c r="C161" t="s">
        <v>18</v>
      </c>
      <c r="D161" t="s">
        <v>26</v>
      </c>
      <c r="E161" t="s">
        <v>24</v>
      </c>
      <c r="F161">
        <v>53</v>
      </c>
      <c r="G161">
        <v>16320</v>
      </c>
      <c r="H161">
        <v>5</v>
      </c>
      <c r="I161">
        <v>4</v>
      </c>
      <c r="J161" t="s">
        <v>20</v>
      </c>
      <c r="K161" t="s">
        <v>27</v>
      </c>
      <c r="L161" t="s">
        <v>21</v>
      </c>
    </row>
    <row r="162" spans="1:12" x14ac:dyDescent="0.2">
      <c r="A162">
        <v>161</v>
      </c>
      <c r="B162" s="1">
        <v>43855</v>
      </c>
      <c r="C162" t="s">
        <v>22</v>
      </c>
      <c r="D162" t="s">
        <v>35</v>
      </c>
      <c r="E162" t="s">
        <v>24</v>
      </c>
      <c r="F162">
        <v>59</v>
      </c>
      <c r="G162">
        <v>8938</v>
      </c>
      <c r="H162">
        <v>1</v>
      </c>
      <c r="I162">
        <v>5</v>
      </c>
      <c r="J162" t="s">
        <v>20</v>
      </c>
      <c r="K162" t="s">
        <v>32</v>
      </c>
      <c r="L162" t="s">
        <v>34</v>
      </c>
    </row>
    <row r="163" spans="1:12" x14ac:dyDescent="0.2">
      <c r="A163">
        <v>162</v>
      </c>
      <c r="B163" s="1">
        <v>43544</v>
      </c>
      <c r="C163" t="s">
        <v>30</v>
      </c>
      <c r="D163" t="s">
        <v>38</v>
      </c>
      <c r="E163" t="s">
        <v>24</v>
      </c>
      <c r="F163">
        <v>32</v>
      </c>
      <c r="G163">
        <v>5491</v>
      </c>
      <c r="H163">
        <v>1</v>
      </c>
      <c r="I163">
        <v>2</v>
      </c>
      <c r="J163" t="s">
        <v>20</v>
      </c>
      <c r="K163" t="s">
        <v>27</v>
      </c>
      <c r="L163" t="s">
        <v>17</v>
      </c>
    </row>
    <row r="164" spans="1:12" x14ac:dyDescent="0.2">
      <c r="A164">
        <v>163</v>
      </c>
      <c r="B164" s="1">
        <v>44718</v>
      </c>
      <c r="C164" t="s">
        <v>18</v>
      </c>
      <c r="D164" t="s">
        <v>19</v>
      </c>
      <c r="E164" t="s">
        <v>14</v>
      </c>
      <c r="F164">
        <v>60</v>
      </c>
      <c r="G164">
        <v>18191</v>
      </c>
      <c r="H164">
        <v>8</v>
      </c>
      <c r="I164">
        <v>5</v>
      </c>
      <c r="J164" t="s">
        <v>20</v>
      </c>
      <c r="K164" t="s">
        <v>27</v>
      </c>
      <c r="L164" t="s">
        <v>17</v>
      </c>
    </row>
    <row r="165" spans="1:12" x14ac:dyDescent="0.2">
      <c r="A165">
        <v>164</v>
      </c>
      <c r="B165" s="1">
        <v>40251</v>
      </c>
      <c r="C165" t="s">
        <v>12</v>
      </c>
      <c r="D165" t="s">
        <v>13</v>
      </c>
      <c r="E165" t="s">
        <v>14</v>
      </c>
      <c r="F165">
        <v>40</v>
      </c>
      <c r="G165">
        <v>15785</v>
      </c>
      <c r="H165">
        <v>2</v>
      </c>
      <c r="I165">
        <v>2</v>
      </c>
      <c r="J165" t="s">
        <v>20</v>
      </c>
      <c r="K165" t="s">
        <v>32</v>
      </c>
      <c r="L165" t="s">
        <v>17</v>
      </c>
    </row>
    <row r="166" spans="1:12" x14ac:dyDescent="0.2">
      <c r="A166">
        <v>165</v>
      </c>
      <c r="B166" s="1">
        <v>44042</v>
      </c>
      <c r="C166" t="s">
        <v>12</v>
      </c>
      <c r="D166" t="s">
        <v>13</v>
      </c>
      <c r="E166" t="s">
        <v>24</v>
      </c>
      <c r="F166">
        <v>27</v>
      </c>
      <c r="G166">
        <v>17844</v>
      </c>
      <c r="H166">
        <v>5</v>
      </c>
      <c r="I166">
        <v>1</v>
      </c>
      <c r="J166" t="s">
        <v>20</v>
      </c>
      <c r="K166" t="s">
        <v>32</v>
      </c>
      <c r="L166" t="s">
        <v>21</v>
      </c>
    </row>
    <row r="167" spans="1:12" x14ac:dyDescent="0.2">
      <c r="A167">
        <v>166</v>
      </c>
      <c r="B167" s="1">
        <v>40835</v>
      </c>
      <c r="C167" t="s">
        <v>22</v>
      </c>
      <c r="D167" t="s">
        <v>35</v>
      </c>
      <c r="E167" t="s">
        <v>24</v>
      </c>
      <c r="F167">
        <v>46</v>
      </c>
      <c r="G167">
        <v>8526</v>
      </c>
      <c r="H167">
        <v>0</v>
      </c>
      <c r="I167">
        <v>3</v>
      </c>
      <c r="J167" t="s">
        <v>20</v>
      </c>
      <c r="K167" t="s">
        <v>32</v>
      </c>
      <c r="L167" t="s">
        <v>21</v>
      </c>
    </row>
    <row r="168" spans="1:12" x14ac:dyDescent="0.2">
      <c r="A168">
        <v>167</v>
      </c>
      <c r="B168" s="1">
        <v>41058</v>
      </c>
      <c r="C168" t="s">
        <v>28</v>
      </c>
      <c r="D168" t="s">
        <v>33</v>
      </c>
      <c r="E168" t="s">
        <v>14</v>
      </c>
      <c r="F168">
        <v>27</v>
      </c>
      <c r="G168">
        <v>10884</v>
      </c>
      <c r="H168">
        <v>10</v>
      </c>
      <c r="I168">
        <v>2</v>
      </c>
      <c r="J168" t="s">
        <v>15</v>
      </c>
      <c r="K168" t="s">
        <v>16</v>
      </c>
      <c r="L168" t="s">
        <v>39</v>
      </c>
    </row>
    <row r="169" spans="1:12" x14ac:dyDescent="0.2">
      <c r="A169">
        <v>168</v>
      </c>
      <c r="B169" s="1">
        <v>40246</v>
      </c>
      <c r="C169" t="s">
        <v>28</v>
      </c>
      <c r="D169" t="s">
        <v>29</v>
      </c>
      <c r="E169" t="s">
        <v>14</v>
      </c>
      <c r="F169">
        <v>28</v>
      </c>
      <c r="G169">
        <v>10335</v>
      </c>
      <c r="H169">
        <v>5</v>
      </c>
      <c r="I169">
        <v>1</v>
      </c>
      <c r="J169" t="s">
        <v>15</v>
      </c>
      <c r="K169" t="s">
        <v>27</v>
      </c>
      <c r="L169" t="s">
        <v>17</v>
      </c>
    </row>
    <row r="170" spans="1:12" x14ac:dyDescent="0.2">
      <c r="A170">
        <v>169</v>
      </c>
      <c r="B170" s="1">
        <v>43528</v>
      </c>
      <c r="C170" t="s">
        <v>30</v>
      </c>
      <c r="D170" t="s">
        <v>31</v>
      </c>
      <c r="E170" t="s">
        <v>14</v>
      </c>
      <c r="F170">
        <v>42</v>
      </c>
      <c r="G170">
        <v>10497</v>
      </c>
      <c r="H170">
        <v>13</v>
      </c>
      <c r="I170">
        <v>2</v>
      </c>
      <c r="J170" t="s">
        <v>20</v>
      </c>
      <c r="K170" t="s">
        <v>32</v>
      </c>
      <c r="L170" t="s">
        <v>39</v>
      </c>
    </row>
    <row r="171" spans="1:12" x14ac:dyDescent="0.2">
      <c r="A171">
        <v>170</v>
      </c>
      <c r="B171" s="1">
        <v>41798</v>
      </c>
      <c r="C171" t="s">
        <v>30</v>
      </c>
      <c r="D171" t="s">
        <v>38</v>
      </c>
      <c r="E171" t="s">
        <v>14</v>
      </c>
      <c r="F171">
        <v>28</v>
      </c>
      <c r="G171">
        <v>11704</v>
      </c>
      <c r="H171">
        <v>9</v>
      </c>
      <c r="I171">
        <v>2</v>
      </c>
      <c r="J171" t="s">
        <v>20</v>
      </c>
      <c r="K171" t="s">
        <v>16</v>
      </c>
      <c r="L171" t="s">
        <v>21</v>
      </c>
    </row>
    <row r="172" spans="1:12" x14ac:dyDescent="0.2">
      <c r="A172">
        <v>171</v>
      </c>
      <c r="B172" s="1">
        <v>43729</v>
      </c>
      <c r="C172" t="s">
        <v>30</v>
      </c>
      <c r="D172" t="s">
        <v>38</v>
      </c>
      <c r="E172" t="s">
        <v>14</v>
      </c>
      <c r="F172">
        <v>35</v>
      </c>
      <c r="G172">
        <v>6585</v>
      </c>
      <c r="H172">
        <v>6</v>
      </c>
      <c r="I172">
        <v>1</v>
      </c>
      <c r="J172" t="s">
        <v>15</v>
      </c>
      <c r="K172" t="s">
        <v>32</v>
      </c>
      <c r="L172" t="s">
        <v>21</v>
      </c>
    </row>
    <row r="173" spans="1:12" x14ac:dyDescent="0.2">
      <c r="A173">
        <v>172</v>
      </c>
      <c r="B173" s="1">
        <v>41365</v>
      </c>
      <c r="C173" t="s">
        <v>18</v>
      </c>
      <c r="D173" t="s">
        <v>19</v>
      </c>
      <c r="E173" t="s">
        <v>14</v>
      </c>
      <c r="F173">
        <v>38</v>
      </c>
      <c r="G173">
        <v>4363</v>
      </c>
      <c r="H173">
        <v>1</v>
      </c>
      <c r="I173">
        <v>5</v>
      </c>
      <c r="J173" t="s">
        <v>15</v>
      </c>
      <c r="K173" t="s">
        <v>16</v>
      </c>
      <c r="L173" t="s">
        <v>39</v>
      </c>
    </row>
    <row r="174" spans="1:12" x14ac:dyDescent="0.2">
      <c r="A174">
        <v>173</v>
      </c>
      <c r="B174" s="1">
        <v>40544</v>
      </c>
      <c r="C174" t="s">
        <v>28</v>
      </c>
      <c r="D174" t="s">
        <v>33</v>
      </c>
      <c r="E174" t="s">
        <v>14</v>
      </c>
      <c r="F174">
        <v>54</v>
      </c>
      <c r="G174">
        <v>19206</v>
      </c>
      <c r="H174">
        <v>4</v>
      </c>
      <c r="I174">
        <v>4</v>
      </c>
      <c r="J174" t="s">
        <v>15</v>
      </c>
      <c r="K174" t="s">
        <v>27</v>
      </c>
      <c r="L174" t="s">
        <v>25</v>
      </c>
    </row>
    <row r="175" spans="1:12" x14ac:dyDescent="0.2">
      <c r="A175">
        <v>174</v>
      </c>
      <c r="B175" s="1">
        <v>40537</v>
      </c>
      <c r="C175" t="s">
        <v>28</v>
      </c>
      <c r="D175" t="s">
        <v>33</v>
      </c>
      <c r="E175" t="s">
        <v>14</v>
      </c>
      <c r="F175">
        <v>38</v>
      </c>
      <c r="G175">
        <v>13334</v>
      </c>
      <c r="H175">
        <v>4</v>
      </c>
      <c r="I175">
        <v>3</v>
      </c>
      <c r="J175" t="s">
        <v>20</v>
      </c>
      <c r="K175" t="s">
        <v>32</v>
      </c>
      <c r="L175" t="s">
        <v>17</v>
      </c>
    </row>
    <row r="176" spans="1:12" x14ac:dyDescent="0.2">
      <c r="A176">
        <v>175</v>
      </c>
      <c r="B176" s="1">
        <v>43633</v>
      </c>
      <c r="C176" t="s">
        <v>30</v>
      </c>
      <c r="D176" t="s">
        <v>31</v>
      </c>
      <c r="E176" t="s">
        <v>14</v>
      </c>
      <c r="F176">
        <v>25</v>
      </c>
      <c r="G176">
        <v>11884</v>
      </c>
      <c r="H176">
        <v>15</v>
      </c>
      <c r="I176">
        <v>2</v>
      </c>
      <c r="J176" t="s">
        <v>20</v>
      </c>
      <c r="K176" t="s">
        <v>32</v>
      </c>
      <c r="L176" t="s">
        <v>17</v>
      </c>
    </row>
    <row r="177" spans="1:12" x14ac:dyDescent="0.2">
      <c r="A177">
        <v>176</v>
      </c>
      <c r="B177" s="1">
        <v>43363</v>
      </c>
      <c r="C177" t="s">
        <v>22</v>
      </c>
      <c r="D177" t="s">
        <v>23</v>
      </c>
      <c r="E177" t="s">
        <v>24</v>
      </c>
      <c r="F177">
        <v>46</v>
      </c>
      <c r="G177">
        <v>11618</v>
      </c>
      <c r="H177">
        <v>11</v>
      </c>
      <c r="I177">
        <v>4</v>
      </c>
      <c r="J177" t="s">
        <v>15</v>
      </c>
      <c r="K177" t="s">
        <v>27</v>
      </c>
      <c r="L177" t="s">
        <v>34</v>
      </c>
    </row>
    <row r="178" spans="1:12" x14ac:dyDescent="0.2">
      <c r="A178">
        <v>177</v>
      </c>
      <c r="B178" s="1">
        <v>42453</v>
      </c>
      <c r="C178" t="s">
        <v>28</v>
      </c>
      <c r="D178" t="s">
        <v>33</v>
      </c>
      <c r="E178" t="s">
        <v>24</v>
      </c>
      <c r="F178">
        <v>35</v>
      </c>
      <c r="G178">
        <v>16157</v>
      </c>
      <c r="H178">
        <v>7</v>
      </c>
      <c r="I178">
        <v>2</v>
      </c>
      <c r="J178" t="s">
        <v>20</v>
      </c>
      <c r="K178" t="s">
        <v>27</v>
      </c>
      <c r="L178" t="s">
        <v>17</v>
      </c>
    </row>
    <row r="179" spans="1:12" x14ac:dyDescent="0.2">
      <c r="A179">
        <v>178</v>
      </c>
      <c r="B179" s="1">
        <v>44795</v>
      </c>
      <c r="C179" t="s">
        <v>12</v>
      </c>
      <c r="D179" t="s">
        <v>41</v>
      </c>
      <c r="E179" t="s">
        <v>14</v>
      </c>
      <c r="F179">
        <v>42</v>
      </c>
      <c r="G179">
        <v>14590</v>
      </c>
      <c r="H179">
        <v>9</v>
      </c>
      <c r="I179">
        <v>3</v>
      </c>
      <c r="J179" t="s">
        <v>15</v>
      </c>
      <c r="K179" t="s">
        <v>16</v>
      </c>
      <c r="L179" t="s">
        <v>21</v>
      </c>
    </row>
    <row r="180" spans="1:12" x14ac:dyDescent="0.2">
      <c r="A180">
        <v>179</v>
      </c>
      <c r="B180" s="1">
        <v>44119</v>
      </c>
      <c r="C180" t="s">
        <v>22</v>
      </c>
      <c r="D180" t="s">
        <v>23</v>
      </c>
      <c r="E180" t="s">
        <v>14</v>
      </c>
      <c r="F180">
        <v>45</v>
      </c>
      <c r="G180">
        <v>5571</v>
      </c>
      <c r="H180">
        <v>13</v>
      </c>
      <c r="I180">
        <v>4</v>
      </c>
      <c r="J180" t="s">
        <v>20</v>
      </c>
      <c r="K180" t="s">
        <v>16</v>
      </c>
      <c r="L180" t="s">
        <v>25</v>
      </c>
    </row>
    <row r="181" spans="1:12" x14ac:dyDescent="0.2">
      <c r="A181">
        <v>180</v>
      </c>
      <c r="B181" s="1">
        <v>40892</v>
      </c>
      <c r="C181" t="s">
        <v>22</v>
      </c>
      <c r="D181" t="s">
        <v>35</v>
      </c>
      <c r="E181" t="s">
        <v>24</v>
      </c>
      <c r="F181">
        <v>54</v>
      </c>
      <c r="G181">
        <v>6306</v>
      </c>
      <c r="H181">
        <v>8</v>
      </c>
      <c r="I181">
        <v>5</v>
      </c>
      <c r="J181" t="s">
        <v>15</v>
      </c>
      <c r="K181" t="s">
        <v>27</v>
      </c>
      <c r="L181" t="s">
        <v>25</v>
      </c>
    </row>
    <row r="182" spans="1:12" x14ac:dyDescent="0.2">
      <c r="A182">
        <v>181</v>
      </c>
      <c r="B182" s="1">
        <v>40668</v>
      </c>
      <c r="C182" t="s">
        <v>28</v>
      </c>
      <c r="D182" t="s">
        <v>33</v>
      </c>
      <c r="E182" t="s">
        <v>14</v>
      </c>
      <c r="F182">
        <v>59</v>
      </c>
      <c r="G182">
        <v>13963</v>
      </c>
      <c r="H182">
        <v>10</v>
      </c>
      <c r="I182">
        <v>4</v>
      </c>
      <c r="J182" t="s">
        <v>15</v>
      </c>
      <c r="K182" t="s">
        <v>27</v>
      </c>
      <c r="L182" t="s">
        <v>21</v>
      </c>
    </row>
    <row r="183" spans="1:12" x14ac:dyDescent="0.2">
      <c r="A183">
        <v>182</v>
      </c>
      <c r="B183" s="1">
        <v>42493</v>
      </c>
      <c r="C183" t="s">
        <v>36</v>
      </c>
      <c r="D183" t="s">
        <v>42</v>
      </c>
      <c r="E183" t="s">
        <v>24</v>
      </c>
      <c r="F183">
        <v>29</v>
      </c>
      <c r="G183">
        <v>19266</v>
      </c>
      <c r="H183">
        <v>14</v>
      </c>
      <c r="I183">
        <v>4</v>
      </c>
      <c r="J183" t="s">
        <v>20</v>
      </c>
      <c r="K183" t="s">
        <v>32</v>
      </c>
      <c r="L183" t="s">
        <v>25</v>
      </c>
    </row>
    <row r="184" spans="1:12" x14ac:dyDescent="0.2">
      <c r="A184">
        <v>183</v>
      </c>
      <c r="B184" s="1">
        <v>43962</v>
      </c>
      <c r="C184" t="s">
        <v>18</v>
      </c>
      <c r="D184" t="s">
        <v>26</v>
      </c>
      <c r="E184" t="s">
        <v>14</v>
      </c>
      <c r="F184">
        <v>28</v>
      </c>
      <c r="G184">
        <v>13020</v>
      </c>
      <c r="H184">
        <v>8</v>
      </c>
      <c r="I184">
        <v>5</v>
      </c>
      <c r="J184" t="s">
        <v>15</v>
      </c>
      <c r="K184" t="s">
        <v>27</v>
      </c>
      <c r="L184" t="s">
        <v>21</v>
      </c>
    </row>
    <row r="185" spans="1:12" x14ac:dyDescent="0.2">
      <c r="A185">
        <v>184</v>
      </c>
      <c r="B185" s="1">
        <v>43670</v>
      </c>
      <c r="C185" t="s">
        <v>22</v>
      </c>
      <c r="D185" t="s">
        <v>23</v>
      </c>
      <c r="E185" t="s">
        <v>14</v>
      </c>
      <c r="F185">
        <v>23</v>
      </c>
      <c r="G185">
        <v>8712</v>
      </c>
      <c r="H185">
        <v>7</v>
      </c>
      <c r="I185">
        <v>5</v>
      </c>
      <c r="J185" t="s">
        <v>15</v>
      </c>
      <c r="K185" t="s">
        <v>32</v>
      </c>
      <c r="L185" t="s">
        <v>21</v>
      </c>
    </row>
    <row r="186" spans="1:12" x14ac:dyDescent="0.2">
      <c r="A186">
        <v>185</v>
      </c>
      <c r="B186" s="1">
        <v>40680</v>
      </c>
      <c r="C186" t="s">
        <v>12</v>
      </c>
      <c r="D186" t="s">
        <v>13</v>
      </c>
      <c r="E186" t="s">
        <v>24</v>
      </c>
      <c r="F186">
        <v>48</v>
      </c>
      <c r="G186">
        <v>4601</v>
      </c>
      <c r="H186">
        <v>3</v>
      </c>
      <c r="I186">
        <v>3</v>
      </c>
      <c r="J186" t="s">
        <v>15</v>
      </c>
      <c r="K186" t="s">
        <v>16</v>
      </c>
      <c r="L186" t="s">
        <v>25</v>
      </c>
    </row>
    <row r="187" spans="1:12" x14ac:dyDescent="0.2">
      <c r="A187">
        <v>186</v>
      </c>
      <c r="B187" s="1">
        <v>43117</v>
      </c>
      <c r="C187" t="s">
        <v>18</v>
      </c>
      <c r="D187" t="s">
        <v>19</v>
      </c>
      <c r="E187" t="s">
        <v>24</v>
      </c>
      <c r="F187">
        <v>47</v>
      </c>
      <c r="G187">
        <v>15035</v>
      </c>
      <c r="H187">
        <v>3</v>
      </c>
      <c r="I187">
        <v>2</v>
      </c>
      <c r="J187" t="s">
        <v>15</v>
      </c>
      <c r="K187" t="s">
        <v>16</v>
      </c>
      <c r="L187" t="s">
        <v>39</v>
      </c>
    </row>
    <row r="188" spans="1:12" x14ac:dyDescent="0.2">
      <c r="A188">
        <v>187</v>
      </c>
      <c r="B188" s="1">
        <v>40374</v>
      </c>
      <c r="C188" t="s">
        <v>12</v>
      </c>
      <c r="D188" t="s">
        <v>41</v>
      </c>
      <c r="E188" t="s">
        <v>14</v>
      </c>
      <c r="F188">
        <v>53</v>
      </c>
      <c r="G188">
        <v>12715</v>
      </c>
      <c r="H188">
        <v>4</v>
      </c>
      <c r="I188">
        <v>5</v>
      </c>
      <c r="J188" t="s">
        <v>15</v>
      </c>
      <c r="K188" t="s">
        <v>27</v>
      </c>
      <c r="L188" t="s">
        <v>34</v>
      </c>
    </row>
    <row r="189" spans="1:12" x14ac:dyDescent="0.2">
      <c r="A189">
        <v>188</v>
      </c>
      <c r="B189" s="1">
        <v>40711</v>
      </c>
      <c r="C189" t="s">
        <v>30</v>
      </c>
      <c r="D189" t="s">
        <v>38</v>
      </c>
      <c r="E189" t="s">
        <v>24</v>
      </c>
      <c r="F189">
        <v>43</v>
      </c>
      <c r="G189">
        <v>13920</v>
      </c>
      <c r="H189">
        <v>6</v>
      </c>
      <c r="I189">
        <v>2</v>
      </c>
      <c r="J189" t="s">
        <v>20</v>
      </c>
      <c r="K189" t="s">
        <v>32</v>
      </c>
      <c r="L189" t="s">
        <v>25</v>
      </c>
    </row>
    <row r="190" spans="1:12" x14ac:dyDescent="0.2">
      <c r="A190">
        <v>189</v>
      </c>
      <c r="B190" s="1">
        <v>43768</v>
      </c>
      <c r="C190" t="s">
        <v>12</v>
      </c>
      <c r="D190" t="s">
        <v>13</v>
      </c>
      <c r="E190" t="s">
        <v>24</v>
      </c>
      <c r="F190">
        <v>33</v>
      </c>
      <c r="G190">
        <v>12249</v>
      </c>
      <c r="H190">
        <v>9</v>
      </c>
      <c r="I190">
        <v>2</v>
      </c>
      <c r="J190" t="s">
        <v>15</v>
      </c>
      <c r="K190" t="s">
        <v>16</v>
      </c>
      <c r="L190" t="s">
        <v>25</v>
      </c>
    </row>
    <row r="191" spans="1:12" x14ac:dyDescent="0.2">
      <c r="A191">
        <v>190</v>
      </c>
      <c r="B191" s="1">
        <v>42866</v>
      </c>
      <c r="C191" t="s">
        <v>12</v>
      </c>
      <c r="D191" t="s">
        <v>41</v>
      </c>
      <c r="E191" t="s">
        <v>14</v>
      </c>
      <c r="F191">
        <v>39</v>
      </c>
      <c r="G191">
        <v>12697</v>
      </c>
      <c r="H191">
        <v>5</v>
      </c>
      <c r="I191">
        <v>2</v>
      </c>
      <c r="J191" t="s">
        <v>15</v>
      </c>
      <c r="K191" t="s">
        <v>16</v>
      </c>
      <c r="L191" t="s">
        <v>39</v>
      </c>
    </row>
    <row r="192" spans="1:12" x14ac:dyDescent="0.2">
      <c r="A192">
        <v>191</v>
      </c>
      <c r="B192" s="1">
        <v>41539</v>
      </c>
      <c r="C192" t="s">
        <v>30</v>
      </c>
      <c r="D192" t="s">
        <v>38</v>
      </c>
      <c r="E192" t="s">
        <v>14</v>
      </c>
      <c r="F192">
        <v>54</v>
      </c>
      <c r="G192">
        <v>16006</v>
      </c>
      <c r="H192">
        <v>4</v>
      </c>
      <c r="I192">
        <v>3</v>
      </c>
      <c r="J192" t="s">
        <v>20</v>
      </c>
      <c r="K192" t="s">
        <v>32</v>
      </c>
      <c r="L192" t="s">
        <v>21</v>
      </c>
    </row>
    <row r="193" spans="1:12" x14ac:dyDescent="0.2">
      <c r="A193">
        <v>192</v>
      </c>
      <c r="B193" s="1">
        <v>43348</v>
      </c>
      <c r="C193" t="s">
        <v>12</v>
      </c>
      <c r="D193" t="s">
        <v>13</v>
      </c>
      <c r="E193" t="s">
        <v>14</v>
      </c>
      <c r="F193">
        <v>31</v>
      </c>
      <c r="G193">
        <v>8902</v>
      </c>
      <c r="H193">
        <v>8</v>
      </c>
      <c r="I193">
        <v>1</v>
      </c>
      <c r="J193" t="s">
        <v>15</v>
      </c>
      <c r="K193" t="s">
        <v>32</v>
      </c>
      <c r="L193" t="s">
        <v>21</v>
      </c>
    </row>
    <row r="194" spans="1:12" x14ac:dyDescent="0.2">
      <c r="A194">
        <v>193</v>
      </c>
      <c r="B194" s="1">
        <v>44065</v>
      </c>
      <c r="C194" t="s">
        <v>30</v>
      </c>
      <c r="D194" t="s">
        <v>31</v>
      </c>
      <c r="E194" t="s">
        <v>24</v>
      </c>
      <c r="F194">
        <v>36</v>
      </c>
      <c r="G194">
        <v>17042</v>
      </c>
      <c r="H194">
        <v>3</v>
      </c>
      <c r="I194">
        <v>1</v>
      </c>
      <c r="J194" t="s">
        <v>15</v>
      </c>
      <c r="K194" t="s">
        <v>32</v>
      </c>
      <c r="L194" t="s">
        <v>34</v>
      </c>
    </row>
    <row r="195" spans="1:12" x14ac:dyDescent="0.2">
      <c r="A195">
        <v>194</v>
      </c>
      <c r="B195" s="1">
        <v>43209</v>
      </c>
      <c r="C195" t="s">
        <v>30</v>
      </c>
      <c r="D195" t="s">
        <v>31</v>
      </c>
      <c r="E195" t="s">
        <v>24</v>
      </c>
      <c r="F195">
        <v>38</v>
      </c>
      <c r="G195">
        <v>6717</v>
      </c>
      <c r="H195">
        <v>12</v>
      </c>
      <c r="I195">
        <v>3</v>
      </c>
      <c r="J195" t="s">
        <v>20</v>
      </c>
      <c r="K195" t="s">
        <v>27</v>
      </c>
      <c r="L195" t="s">
        <v>39</v>
      </c>
    </row>
    <row r="196" spans="1:12" x14ac:dyDescent="0.2">
      <c r="A196">
        <v>195</v>
      </c>
      <c r="B196" s="1">
        <v>40194</v>
      </c>
      <c r="C196" t="s">
        <v>36</v>
      </c>
      <c r="D196" t="s">
        <v>42</v>
      </c>
      <c r="E196" t="s">
        <v>24</v>
      </c>
      <c r="F196">
        <v>46</v>
      </c>
      <c r="G196">
        <v>19076</v>
      </c>
      <c r="H196">
        <v>6</v>
      </c>
      <c r="I196">
        <v>2</v>
      </c>
      <c r="J196" t="s">
        <v>20</v>
      </c>
      <c r="K196" t="s">
        <v>32</v>
      </c>
      <c r="L196" t="s">
        <v>17</v>
      </c>
    </row>
    <row r="197" spans="1:12" x14ac:dyDescent="0.2">
      <c r="A197">
        <v>196</v>
      </c>
      <c r="B197" s="1">
        <v>43020</v>
      </c>
      <c r="C197" t="s">
        <v>36</v>
      </c>
      <c r="D197" t="s">
        <v>42</v>
      </c>
      <c r="E197" t="s">
        <v>24</v>
      </c>
      <c r="F197">
        <v>37</v>
      </c>
      <c r="G197">
        <v>10907</v>
      </c>
      <c r="H197">
        <v>8</v>
      </c>
      <c r="I197">
        <v>3</v>
      </c>
      <c r="J197" t="s">
        <v>15</v>
      </c>
      <c r="K197" t="s">
        <v>32</v>
      </c>
      <c r="L197" t="s">
        <v>39</v>
      </c>
    </row>
    <row r="198" spans="1:12" x14ac:dyDescent="0.2">
      <c r="A198">
        <v>197</v>
      </c>
      <c r="B198" s="1">
        <v>43145</v>
      </c>
      <c r="C198" t="s">
        <v>36</v>
      </c>
      <c r="D198" t="s">
        <v>40</v>
      </c>
      <c r="E198" t="s">
        <v>14</v>
      </c>
      <c r="F198">
        <v>24</v>
      </c>
      <c r="G198">
        <v>5215</v>
      </c>
      <c r="H198">
        <v>1</v>
      </c>
      <c r="I198">
        <v>4</v>
      </c>
      <c r="J198" t="s">
        <v>15</v>
      </c>
      <c r="K198" t="s">
        <v>16</v>
      </c>
      <c r="L198" t="s">
        <v>17</v>
      </c>
    </row>
    <row r="199" spans="1:12" x14ac:dyDescent="0.2">
      <c r="A199">
        <v>198</v>
      </c>
      <c r="B199" s="1">
        <v>44717</v>
      </c>
      <c r="C199" t="s">
        <v>18</v>
      </c>
      <c r="D199" t="s">
        <v>19</v>
      </c>
      <c r="E199" t="s">
        <v>14</v>
      </c>
      <c r="F199">
        <v>34</v>
      </c>
      <c r="G199">
        <v>19715</v>
      </c>
      <c r="H199">
        <v>6</v>
      </c>
      <c r="I199">
        <v>1</v>
      </c>
      <c r="J199" t="s">
        <v>15</v>
      </c>
      <c r="K199" t="s">
        <v>32</v>
      </c>
      <c r="L199" t="s">
        <v>21</v>
      </c>
    </row>
    <row r="200" spans="1:12" x14ac:dyDescent="0.2">
      <c r="A200">
        <v>199</v>
      </c>
      <c r="B200" s="1">
        <v>40584</v>
      </c>
      <c r="C200" t="s">
        <v>18</v>
      </c>
      <c r="D200" t="s">
        <v>19</v>
      </c>
      <c r="E200" t="s">
        <v>14</v>
      </c>
      <c r="F200">
        <v>43</v>
      </c>
      <c r="G200">
        <v>17290</v>
      </c>
      <c r="H200">
        <v>11</v>
      </c>
      <c r="I200">
        <v>4</v>
      </c>
      <c r="J200" t="s">
        <v>15</v>
      </c>
      <c r="K200" t="s">
        <v>32</v>
      </c>
      <c r="L200" t="s">
        <v>39</v>
      </c>
    </row>
    <row r="201" spans="1:12" x14ac:dyDescent="0.2">
      <c r="A201">
        <v>200</v>
      </c>
      <c r="B201" s="1">
        <v>43010</v>
      </c>
      <c r="C201" t="s">
        <v>36</v>
      </c>
      <c r="D201" t="s">
        <v>42</v>
      </c>
      <c r="E201" t="s">
        <v>14</v>
      </c>
      <c r="F201">
        <v>56</v>
      </c>
      <c r="G201">
        <v>16313</v>
      </c>
      <c r="H201">
        <v>12</v>
      </c>
      <c r="I201">
        <v>3</v>
      </c>
      <c r="J201" t="s">
        <v>15</v>
      </c>
      <c r="K201" t="s">
        <v>16</v>
      </c>
      <c r="L201" t="s">
        <v>21</v>
      </c>
    </row>
    <row r="202" spans="1:12" x14ac:dyDescent="0.2">
      <c r="A202">
        <v>201</v>
      </c>
      <c r="B202" s="1">
        <v>42562</v>
      </c>
      <c r="C202" t="s">
        <v>30</v>
      </c>
      <c r="D202" t="s">
        <v>38</v>
      </c>
      <c r="E202" t="s">
        <v>24</v>
      </c>
      <c r="F202">
        <v>23</v>
      </c>
      <c r="G202">
        <v>11129</v>
      </c>
      <c r="H202">
        <v>2</v>
      </c>
      <c r="I202">
        <v>4</v>
      </c>
      <c r="J202" t="s">
        <v>15</v>
      </c>
      <c r="K202" t="s">
        <v>32</v>
      </c>
      <c r="L202" t="s">
        <v>34</v>
      </c>
    </row>
    <row r="203" spans="1:12" x14ac:dyDescent="0.2">
      <c r="A203">
        <v>202</v>
      </c>
      <c r="B203" s="1">
        <v>42567</v>
      </c>
      <c r="C203" t="s">
        <v>30</v>
      </c>
      <c r="D203" t="s">
        <v>38</v>
      </c>
      <c r="E203" t="s">
        <v>24</v>
      </c>
      <c r="F203">
        <v>23</v>
      </c>
      <c r="G203">
        <v>8446</v>
      </c>
      <c r="H203">
        <v>3</v>
      </c>
      <c r="I203">
        <v>4</v>
      </c>
      <c r="J203" t="s">
        <v>15</v>
      </c>
      <c r="K203" t="s">
        <v>16</v>
      </c>
      <c r="L203" t="s">
        <v>17</v>
      </c>
    </row>
    <row r="204" spans="1:12" x14ac:dyDescent="0.2">
      <c r="A204">
        <v>203</v>
      </c>
      <c r="B204" s="1">
        <v>44768</v>
      </c>
      <c r="C204" t="s">
        <v>28</v>
      </c>
      <c r="D204" t="s">
        <v>33</v>
      </c>
      <c r="E204" t="s">
        <v>24</v>
      </c>
      <c r="F204">
        <v>53</v>
      </c>
      <c r="G204">
        <v>19577</v>
      </c>
      <c r="H204">
        <v>12</v>
      </c>
      <c r="I204">
        <v>2</v>
      </c>
      <c r="J204" t="s">
        <v>15</v>
      </c>
      <c r="K204" t="s">
        <v>32</v>
      </c>
      <c r="L204" t="s">
        <v>34</v>
      </c>
    </row>
    <row r="205" spans="1:12" x14ac:dyDescent="0.2">
      <c r="A205">
        <v>204</v>
      </c>
      <c r="B205" s="1">
        <v>44755</v>
      </c>
      <c r="C205" t="s">
        <v>28</v>
      </c>
      <c r="D205" t="s">
        <v>29</v>
      </c>
      <c r="E205" t="s">
        <v>14</v>
      </c>
      <c r="F205">
        <v>59</v>
      </c>
      <c r="G205">
        <v>17190</v>
      </c>
      <c r="H205">
        <v>10</v>
      </c>
      <c r="I205">
        <v>3</v>
      </c>
      <c r="J205" t="s">
        <v>15</v>
      </c>
      <c r="K205" t="s">
        <v>16</v>
      </c>
      <c r="L205" t="s">
        <v>25</v>
      </c>
    </row>
    <row r="206" spans="1:12" x14ac:dyDescent="0.2">
      <c r="A206">
        <v>205</v>
      </c>
      <c r="B206" s="1">
        <v>42526</v>
      </c>
      <c r="C206" t="s">
        <v>22</v>
      </c>
      <c r="D206" t="s">
        <v>35</v>
      </c>
      <c r="E206" t="s">
        <v>24</v>
      </c>
      <c r="F206">
        <v>59</v>
      </c>
      <c r="G206">
        <v>7685</v>
      </c>
      <c r="H206">
        <v>0</v>
      </c>
      <c r="I206">
        <v>2</v>
      </c>
      <c r="J206" t="s">
        <v>20</v>
      </c>
      <c r="K206" t="s">
        <v>27</v>
      </c>
      <c r="L206" t="s">
        <v>21</v>
      </c>
    </row>
    <row r="207" spans="1:12" x14ac:dyDescent="0.2">
      <c r="A207">
        <v>206</v>
      </c>
      <c r="B207" s="1">
        <v>42798</v>
      </c>
      <c r="C207" t="s">
        <v>22</v>
      </c>
      <c r="D207" t="s">
        <v>23</v>
      </c>
      <c r="E207" t="s">
        <v>14</v>
      </c>
      <c r="F207">
        <v>55</v>
      </c>
      <c r="G207">
        <v>14861</v>
      </c>
      <c r="H207">
        <v>4</v>
      </c>
      <c r="I207">
        <v>2</v>
      </c>
      <c r="J207" t="s">
        <v>15</v>
      </c>
      <c r="K207" t="s">
        <v>32</v>
      </c>
      <c r="L207" t="s">
        <v>34</v>
      </c>
    </row>
    <row r="208" spans="1:12" x14ac:dyDescent="0.2">
      <c r="A208">
        <v>207</v>
      </c>
      <c r="B208" s="1">
        <v>41907</v>
      </c>
      <c r="C208" t="s">
        <v>28</v>
      </c>
      <c r="D208" t="s">
        <v>33</v>
      </c>
      <c r="E208" t="s">
        <v>14</v>
      </c>
      <c r="F208">
        <v>23</v>
      </c>
      <c r="G208">
        <v>12914</v>
      </c>
      <c r="H208">
        <v>15</v>
      </c>
      <c r="I208">
        <v>5</v>
      </c>
      <c r="J208" t="s">
        <v>15</v>
      </c>
      <c r="K208" t="s">
        <v>32</v>
      </c>
      <c r="L208" t="s">
        <v>21</v>
      </c>
    </row>
    <row r="209" spans="1:12" x14ac:dyDescent="0.2">
      <c r="A209">
        <v>208</v>
      </c>
      <c r="B209" s="1">
        <v>41061</v>
      </c>
      <c r="C209" t="s">
        <v>22</v>
      </c>
      <c r="D209" t="s">
        <v>23</v>
      </c>
      <c r="E209" t="s">
        <v>14</v>
      </c>
      <c r="F209">
        <v>41</v>
      </c>
      <c r="G209">
        <v>19866</v>
      </c>
      <c r="H209">
        <v>9</v>
      </c>
      <c r="I209">
        <v>4</v>
      </c>
      <c r="J209" t="s">
        <v>15</v>
      </c>
      <c r="K209" t="s">
        <v>32</v>
      </c>
      <c r="L209" t="s">
        <v>34</v>
      </c>
    </row>
    <row r="210" spans="1:12" x14ac:dyDescent="0.2">
      <c r="A210">
        <v>209</v>
      </c>
      <c r="B210" s="1">
        <v>42556</v>
      </c>
      <c r="C210" t="s">
        <v>12</v>
      </c>
      <c r="D210" t="s">
        <v>41</v>
      </c>
      <c r="E210" t="s">
        <v>24</v>
      </c>
      <c r="F210">
        <v>22</v>
      </c>
      <c r="G210">
        <v>8534</v>
      </c>
      <c r="H210">
        <v>0</v>
      </c>
      <c r="I210">
        <v>2</v>
      </c>
      <c r="J210" t="s">
        <v>15</v>
      </c>
      <c r="K210" t="s">
        <v>16</v>
      </c>
      <c r="L210" t="s">
        <v>34</v>
      </c>
    </row>
    <row r="211" spans="1:12" x14ac:dyDescent="0.2">
      <c r="A211">
        <v>210</v>
      </c>
      <c r="B211" s="1">
        <v>40505</v>
      </c>
      <c r="C211" t="s">
        <v>36</v>
      </c>
      <c r="D211" t="s">
        <v>42</v>
      </c>
      <c r="E211" t="s">
        <v>14</v>
      </c>
      <c r="F211">
        <v>53</v>
      </c>
      <c r="G211">
        <v>13928</v>
      </c>
      <c r="H211">
        <v>7</v>
      </c>
      <c r="I211">
        <v>4</v>
      </c>
      <c r="J211" t="s">
        <v>15</v>
      </c>
      <c r="K211" t="s">
        <v>16</v>
      </c>
      <c r="L211" t="s">
        <v>39</v>
      </c>
    </row>
    <row r="212" spans="1:12" x14ac:dyDescent="0.2">
      <c r="A212">
        <v>211</v>
      </c>
      <c r="B212" s="1">
        <v>40436</v>
      </c>
      <c r="C212" t="s">
        <v>18</v>
      </c>
      <c r="D212" t="s">
        <v>19</v>
      </c>
      <c r="E212" t="s">
        <v>14</v>
      </c>
      <c r="F212">
        <v>58</v>
      </c>
      <c r="G212">
        <v>17345</v>
      </c>
      <c r="H212">
        <v>1</v>
      </c>
      <c r="I212">
        <v>2</v>
      </c>
      <c r="J212" t="s">
        <v>15</v>
      </c>
      <c r="K212" t="s">
        <v>32</v>
      </c>
      <c r="L212" t="s">
        <v>21</v>
      </c>
    </row>
    <row r="213" spans="1:12" x14ac:dyDescent="0.2">
      <c r="A213">
        <v>212</v>
      </c>
      <c r="B213" s="1">
        <v>42912</v>
      </c>
      <c r="C213" t="s">
        <v>36</v>
      </c>
      <c r="D213" t="s">
        <v>37</v>
      </c>
      <c r="E213" t="s">
        <v>24</v>
      </c>
      <c r="F213">
        <v>52</v>
      </c>
      <c r="G213">
        <v>4663</v>
      </c>
      <c r="H213">
        <v>11</v>
      </c>
      <c r="I213">
        <v>2</v>
      </c>
      <c r="J213" t="s">
        <v>20</v>
      </c>
      <c r="K213" t="s">
        <v>27</v>
      </c>
      <c r="L213" t="s">
        <v>25</v>
      </c>
    </row>
    <row r="214" spans="1:12" x14ac:dyDescent="0.2">
      <c r="A214">
        <v>213</v>
      </c>
      <c r="B214" s="1">
        <v>40636</v>
      </c>
      <c r="C214" t="s">
        <v>22</v>
      </c>
      <c r="D214" t="s">
        <v>23</v>
      </c>
      <c r="E214" t="s">
        <v>24</v>
      </c>
      <c r="F214">
        <v>55</v>
      </c>
      <c r="G214">
        <v>9900</v>
      </c>
      <c r="H214">
        <v>8</v>
      </c>
      <c r="I214">
        <v>2</v>
      </c>
      <c r="J214" t="s">
        <v>20</v>
      </c>
      <c r="K214" t="s">
        <v>16</v>
      </c>
      <c r="L214" t="s">
        <v>34</v>
      </c>
    </row>
    <row r="215" spans="1:12" x14ac:dyDescent="0.2">
      <c r="A215">
        <v>214</v>
      </c>
      <c r="B215" s="1">
        <v>42010</v>
      </c>
      <c r="C215" t="s">
        <v>36</v>
      </c>
      <c r="D215" t="s">
        <v>40</v>
      </c>
      <c r="E215" t="s">
        <v>14</v>
      </c>
      <c r="F215">
        <v>51</v>
      </c>
      <c r="G215">
        <v>7713</v>
      </c>
      <c r="H215">
        <v>12</v>
      </c>
      <c r="I215">
        <v>4</v>
      </c>
      <c r="J215" t="s">
        <v>15</v>
      </c>
      <c r="K215" t="s">
        <v>16</v>
      </c>
      <c r="L215" t="s">
        <v>34</v>
      </c>
    </row>
    <row r="216" spans="1:12" x14ac:dyDescent="0.2">
      <c r="A216">
        <v>215</v>
      </c>
      <c r="B216" s="1">
        <v>43396</v>
      </c>
      <c r="C216" t="s">
        <v>18</v>
      </c>
      <c r="D216" t="s">
        <v>19</v>
      </c>
      <c r="E216" t="s">
        <v>14</v>
      </c>
      <c r="F216">
        <v>35</v>
      </c>
      <c r="G216">
        <v>19631</v>
      </c>
      <c r="H216">
        <v>11</v>
      </c>
      <c r="I216">
        <v>3</v>
      </c>
      <c r="J216" t="s">
        <v>20</v>
      </c>
      <c r="K216" t="s">
        <v>27</v>
      </c>
      <c r="L216" t="s">
        <v>17</v>
      </c>
    </row>
    <row r="217" spans="1:12" x14ac:dyDescent="0.2">
      <c r="A217">
        <v>216</v>
      </c>
      <c r="B217" s="1">
        <v>44364</v>
      </c>
      <c r="C217" t="s">
        <v>28</v>
      </c>
      <c r="D217" t="s">
        <v>29</v>
      </c>
      <c r="E217" t="s">
        <v>14</v>
      </c>
      <c r="F217">
        <v>26</v>
      </c>
      <c r="G217">
        <v>12713</v>
      </c>
      <c r="H217">
        <v>3</v>
      </c>
      <c r="I217">
        <v>1</v>
      </c>
      <c r="J217" t="s">
        <v>20</v>
      </c>
      <c r="K217" t="s">
        <v>32</v>
      </c>
      <c r="L217" t="s">
        <v>25</v>
      </c>
    </row>
    <row r="218" spans="1:12" x14ac:dyDescent="0.2">
      <c r="A218">
        <v>217</v>
      </c>
      <c r="B218" s="1">
        <v>41645</v>
      </c>
      <c r="C218" t="s">
        <v>36</v>
      </c>
      <c r="D218" t="s">
        <v>37</v>
      </c>
      <c r="E218" t="s">
        <v>24</v>
      </c>
      <c r="F218">
        <v>58</v>
      </c>
      <c r="G218">
        <v>6491</v>
      </c>
      <c r="H218">
        <v>2</v>
      </c>
      <c r="I218">
        <v>5</v>
      </c>
      <c r="J218" t="s">
        <v>15</v>
      </c>
      <c r="K218" t="s">
        <v>27</v>
      </c>
      <c r="L218" t="s">
        <v>17</v>
      </c>
    </row>
    <row r="219" spans="1:12" x14ac:dyDescent="0.2">
      <c r="A219">
        <v>218</v>
      </c>
      <c r="B219" s="1">
        <v>43756</v>
      </c>
      <c r="C219" t="s">
        <v>30</v>
      </c>
      <c r="D219" t="s">
        <v>31</v>
      </c>
      <c r="E219" t="s">
        <v>24</v>
      </c>
      <c r="F219">
        <v>22</v>
      </c>
      <c r="G219">
        <v>10212</v>
      </c>
      <c r="H219">
        <v>7</v>
      </c>
      <c r="I219">
        <v>1</v>
      </c>
      <c r="J219" t="s">
        <v>20</v>
      </c>
      <c r="K219" t="s">
        <v>27</v>
      </c>
      <c r="L219" t="s">
        <v>34</v>
      </c>
    </row>
    <row r="220" spans="1:12" x14ac:dyDescent="0.2">
      <c r="A220">
        <v>219</v>
      </c>
      <c r="B220" s="1">
        <v>43389</v>
      </c>
      <c r="C220" t="s">
        <v>22</v>
      </c>
      <c r="D220" t="s">
        <v>35</v>
      </c>
      <c r="E220" t="s">
        <v>24</v>
      </c>
      <c r="F220">
        <v>49</v>
      </c>
      <c r="G220">
        <v>11311</v>
      </c>
      <c r="H220">
        <v>14</v>
      </c>
      <c r="I220">
        <v>5</v>
      </c>
      <c r="J220" t="s">
        <v>20</v>
      </c>
      <c r="K220" t="s">
        <v>32</v>
      </c>
      <c r="L220" t="s">
        <v>34</v>
      </c>
    </row>
    <row r="221" spans="1:12" x14ac:dyDescent="0.2">
      <c r="A221">
        <v>220</v>
      </c>
      <c r="B221" s="1">
        <v>43420</v>
      </c>
      <c r="C221" t="s">
        <v>36</v>
      </c>
      <c r="D221" t="s">
        <v>37</v>
      </c>
      <c r="E221" t="s">
        <v>24</v>
      </c>
      <c r="F221">
        <v>49</v>
      </c>
      <c r="G221">
        <v>12562</v>
      </c>
      <c r="H221">
        <v>8</v>
      </c>
      <c r="I221">
        <v>4</v>
      </c>
      <c r="J221" t="s">
        <v>15</v>
      </c>
      <c r="K221" t="s">
        <v>32</v>
      </c>
      <c r="L221" t="s">
        <v>21</v>
      </c>
    </row>
    <row r="222" spans="1:12" x14ac:dyDescent="0.2">
      <c r="A222">
        <v>221</v>
      </c>
      <c r="B222" s="1">
        <v>41122</v>
      </c>
      <c r="C222" t="s">
        <v>28</v>
      </c>
      <c r="D222" t="s">
        <v>33</v>
      </c>
      <c r="E222" t="s">
        <v>14</v>
      </c>
      <c r="F222">
        <v>47</v>
      </c>
      <c r="G222">
        <v>6945</v>
      </c>
      <c r="H222">
        <v>13</v>
      </c>
      <c r="I222">
        <v>1</v>
      </c>
      <c r="J222" t="s">
        <v>15</v>
      </c>
      <c r="K222" t="s">
        <v>27</v>
      </c>
      <c r="L222" t="s">
        <v>34</v>
      </c>
    </row>
    <row r="223" spans="1:12" x14ac:dyDescent="0.2">
      <c r="A223">
        <v>222</v>
      </c>
      <c r="B223" s="1">
        <v>41905</v>
      </c>
      <c r="C223" t="s">
        <v>12</v>
      </c>
      <c r="D223" t="s">
        <v>13</v>
      </c>
      <c r="E223" t="s">
        <v>14</v>
      </c>
      <c r="F223">
        <v>27</v>
      </c>
      <c r="G223">
        <v>9376</v>
      </c>
      <c r="H223">
        <v>1</v>
      </c>
      <c r="I223">
        <v>2</v>
      </c>
      <c r="J223" t="s">
        <v>20</v>
      </c>
      <c r="K223" t="s">
        <v>32</v>
      </c>
      <c r="L223" t="s">
        <v>34</v>
      </c>
    </row>
    <row r="224" spans="1:12" x14ac:dyDescent="0.2">
      <c r="A224">
        <v>223</v>
      </c>
      <c r="B224" s="1">
        <v>40235</v>
      </c>
      <c r="C224" t="s">
        <v>18</v>
      </c>
      <c r="D224" t="s">
        <v>26</v>
      </c>
      <c r="E224" t="s">
        <v>24</v>
      </c>
      <c r="F224">
        <v>29</v>
      </c>
      <c r="G224">
        <v>17528</v>
      </c>
      <c r="H224">
        <v>10</v>
      </c>
      <c r="I224">
        <v>2</v>
      </c>
      <c r="J224" t="s">
        <v>20</v>
      </c>
      <c r="K224" t="s">
        <v>16</v>
      </c>
      <c r="L224" t="s">
        <v>25</v>
      </c>
    </row>
    <row r="225" spans="1:12" x14ac:dyDescent="0.2">
      <c r="A225">
        <v>224</v>
      </c>
      <c r="B225" s="1">
        <v>44277</v>
      </c>
      <c r="C225" t="s">
        <v>28</v>
      </c>
      <c r="D225" t="s">
        <v>33</v>
      </c>
      <c r="E225" t="s">
        <v>24</v>
      </c>
      <c r="F225">
        <v>39</v>
      </c>
      <c r="G225">
        <v>16595</v>
      </c>
      <c r="H225">
        <v>8</v>
      </c>
      <c r="I225">
        <v>5</v>
      </c>
      <c r="J225" t="s">
        <v>15</v>
      </c>
      <c r="K225" t="s">
        <v>32</v>
      </c>
      <c r="L225" t="s">
        <v>39</v>
      </c>
    </row>
    <row r="226" spans="1:12" x14ac:dyDescent="0.2">
      <c r="A226">
        <v>225</v>
      </c>
      <c r="B226" s="1">
        <v>41351</v>
      </c>
      <c r="C226" t="s">
        <v>18</v>
      </c>
      <c r="D226" t="s">
        <v>19</v>
      </c>
      <c r="E226" t="s">
        <v>24</v>
      </c>
      <c r="F226">
        <v>52</v>
      </c>
      <c r="G226">
        <v>9294</v>
      </c>
      <c r="H226">
        <v>3</v>
      </c>
      <c r="I226">
        <v>3</v>
      </c>
      <c r="J226" t="s">
        <v>20</v>
      </c>
      <c r="K226" t="s">
        <v>32</v>
      </c>
      <c r="L226" t="s">
        <v>21</v>
      </c>
    </row>
    <row r="227" spans="1:12" x14ac:dyDescent="0.2">
      <c r="A227">
        <v>226</v>
      </c>
      <c r="B227" s="1">
        <v>42027</v>
      </c>
      <c r="C227" t="s">
        <v>22</v>
      </c>
      <c r="D227" t="s">
        <v>23</v>
      </c>
      <c r="E227" t="s">
        <v>14</v>
      </c>
      <c r="F227">
        <v>39</v>
      </c>
      <c r="G227">
        <v>18679</v>
      </c>
      <c r="H227">
        <v>6</v>
      </c>
      <c r="I227">
        <v>1</v>
      </c>
      <c r="J227" t="s">
        <v>15</v>
      </c>
      <c r="K227" t="s">
        <v>27</v>
      </c>
      <c r="L227" t="s">
        <v>21</v>
      </c>
    </row>
    <row r="228" spans="1:12" x14ac:dyDescent="0.2">
      <c r="A228">
        <v>227</v>
      </c>
      <c r="B228" s="1">
        <v>43737</v>
      </c>
      <c r="C228" t="s">
        <v>18</v>
      </c>
      <c r="D228" t="s">
        <v>26</v>
      </c>
      <c r="E228" t="s">
        <v>24</v>
      </c>
      <c r="F228">
        <v>22</v>
      </c>
      <c r="G228">
        <v>12887</v>
      </c>
      <c r="H228">
        <v>12</v>
      </c>
      <c r="I228">
        <v>2</v>
      </c>
      <c r="J228" t="s">
        <v>20</v>
      </c>
      <c r="K228" t="s">
        <v>16</v>
      </c>
      <c r="L228" t="s">
        <v>21</v>
      </c>
    </row>
    <row r="229" spans="1:12" x14ac:dyDescent="0.2">
      <c r="A229">
        <v>228</v>
      </c>
      <c r="B229" s="1">
        <v>40822</v>
      </c>
      <c r="C229" t="s">
        <v>30</v>
      </c>
      <c r="D229" t="s">
        <v>38</v>
      </c>
      <c r="E229" t="s">
        <v>14</v>
      </c>
      <c r="F229">
        <v>28</v>
      </c>
      <c r="G229">
        <v>8807</v>
      </c>
      <c r="H229">
        <v>1</v>
      </c>
      <c r="I229">
        <v>3</v>
      </c>
      <c r="J229" t="s">
        <v>20</v>
      </c>
      <c r="K229" t="s">
        <v>32</v>
      </c>
      <c r="L229" t="s">
        <v>17</v>
      </c>
    </row>
    <row r="230" spans="1:12" x14ac:dyDescent="0.2">
      <c r="A230">
        <v>229</v>
      </c>
      <c r="B230" s="1">
        <v>42938</v>
      </c>
      <c r="C230" t="s">
        <v>28</v>
      </c>
      <c r="D230" t="s">
        <v>33</v>
      </c>
      <c r="E230" t="s">
        <v>14</v>
      </c>
      <c r="F230">
        <v>59</v>
      </c>
      <c r="G230">
        <v>17912</v>
      </c>
      <c r="H230">
        <v>12</v>
      </c>
      <c r="I230">
        <v>5</v>
      </c>
      <c r="J230" t="s">
        <v>15</v>
      </c>
      <c r="K230" t="s">
        <v>27</v>
      </c>
      <c r="L230" t="s">
        <v>25</v>
      </c>
    </row>
    <row r="231" spans="1:12" x14ac:dyDescent="0.2">
      <c r="A231">
        <v>230</v>
      </c>
      <c r="B231" s="1">
        <v>44164</v>
      </c>
      <c r="C231" t="s">
        <v>30</v>
      </c>
      <c r="D231" t="s">
        <v>38</v>
      </c>
      <c r="E231" t="s">
        <v>14</v>
      </c>
      <c r="F231">
        <v>24</v>
      </c>
      <c r="G231">
        <v>4536</v>
      </c>
      <c r="H231">
        <v>3</v>
      </c>
      <c r="I231">
        <v>5</v>
      </c>
      <c r="J231" t="s">
        <v>20</v>
      </c>
      <c r="K231" t="s">
        <v>32</v>
      </c>
      <c r="L231" t="s">
        <v>21</v>
      </c>
    </row>
    <row r="232" spans="1:12" x14ac:dyDescent="0.2">
      <c r="A232">
        <v>231</v>
      </c>
      <c r="B232" s="1">
        <v>41716</v>
      </c>
      <c r="C232" t="s">
        <v>30</v>
      </c>
      <c r="D232" t="s">
        <v>38</v>
      </c>
      <c r="E232" t="s">
        <v>14</v>
      </c>
      <c r="F232">
        <v>25</v>
      </c>
      <c r="G232">
        <v>4375</v>
      </c>
      <c r="H232">
        <v>6</v>
      </c>
      <c r="I232">
        <v>5</v>
      </c>
      <c r="J232" t="s">
        <v>15</v>
      </c>
      <c r="K232" t="s">
        <v>32</v>
      </c>
      <c r="L232" t="s">
        <v>21</v>
      </c>
    </row>
    <row r="233" spans="1:12" x14ac:dyDescent="0.2">
      <c r="A233">
        <v>232</v>
      </c>
      <c r="B233" s="1">
        <v>42490</v>
      </c>
      <c r="C233" t="s">
        <v>22</v>
      </c>
      <c r="D233" t="s">
        <v>35</v>
      </c>
      <c r="E233" t="s">
        <v>14</v>
      </c>
      <c r="F233">
        <v>60</v>
      </c>
      <c r="G233">
        <v>15901</v>
      </c>
      <c r="H233">
        <v>11</v>
      </c>
      <c r="I233">
        <v>2</v>
      </c>
      <c r="J233" t="s">
        <v>20</v>
      </c>
      <c r="K233" t="s">
        <v>27</v>
      </c>
      <c r="L233" t="s">
        <v>25</v>
      </c>
    </row>
    <row r="234" spans="1:12" x14ac:dyDescent="0.2">
      <c r="A234">
        <v>233</v>
      </c>
      <c r="B234" s="1">
        <v>42315</v>
      </c>
      <c r="C234" t="s">
        <v>28</v>
      </c>
      <c r="D234" t="s">
        <v>33</v>
      </c>
      <c r="E234" t="s">
        <v>24</v>
      </c>
      <c r="F234">
        <v>47</v>
      </c>
      <c r="G234">
        <v>17833</v>
      </c>
      <c r="H234">
        <v>10</v>
      </c>
      <c r="I234">
        <v>4</v>
      </c>
      <c r="J234" t="s">
        <v>20</v>
      </c>
      <c r="K234" t="s">
        <v>16</v>
      </c>
      <c r="L234" t="s">
        <v>21</v>
      </c>
    </row>
    <row r="235" spans="1:12" x14ac:dyDescent="0.2">
      <c r="A235">
        <v>234</v>
      </c>
      <c r="B235" s="1">
        <v>40481</v>
      </c>
      <c r="C235" t="s">
        <v>28</v>
      </c>
      <c r="D235" t="s">
        <v>33</v>
      </c>
      <c r="E235" t="s">
        <v>14</v>
      </c>
      <c r="F235">
        <v>44</v>
      </c>
      <c r="G235">
        <v>19664</v>
      </c>
      <c r="H235">
        <v>14</v>
      </c>
      <c r="I235">
        <v>2</v>
      </c>
      <c r="J235" t="s">
        <v>15</v>
      </c>
      <c r="K235" t="s">
        <v>27</v>
      </c>
      <c r="L235" t="s">
        <v>25</v>
      </c>
    </row>
    <row r="236" spans="1:12" x14ac:dyDescent="0.2">
      <c r="A236">
        <v>235</v>
      </c>
      <c r="B236" s="1">
        <v>44429</v>
      </c>
      <c r="C236" t="s">
        <v>12</v>
      </c>
      <c r="D236" t="s">
        <v>41</v>
      </c>
      <c r="E236" t="s">
        <v>24</v>
      </c>
      <c r="F236">
        <v>50</v>
      </c>
      <c r="G236">
        <v>14741</v>
      </c>
      <c r="H236">
        <v>8</v>
      </c>
      <c r="I236">
        <v>2</v>
      </c>
      <c r="J236" t="s">
        <v>15</v>
      </c>
      <c r="K236" t="s">
        <v>16</v>
      </c>
      <c r="L236" t="s">
        <v>17</v>
      </c>
    </row>
    <row r="237" spans="1:12" x14ac:dyDescent="0.2">
      <c r="A237">
        <v>236</v>
      </c>
      <c r="B237" s="1">
        <v>45146</v>
      </c>
      <c r="C237" t="s">
        <v>30</v>
      </c>
      <c r="D237" t="s">
        <v>31</v>
      </c>
      <c r="E237" t="s">
        <v>24</v>
      </c>
      <c r="F237">
        <v>51</v>
      </c>
      <c r="G237">
        <v>19639</v>
      </c>
      <c r="H237">
        <v>12</v>
      </c>
      <c r="I237">
        <v>1</v>
      </c>
      <c r="J237" t="s">
        <v>15</v>
      </c>
      <c r="K237" t="s">
        <v>32</v>
      </c>
      <c r="L237" t="s">
        <v>21</v>
      </c>
    </row>
    <row r="238" spans="1:12" x14ac:dyDescent="0.2">
      <c r="A238">
        <v>237</v>
      </c>
      <c r="B238" s="1">
        <v>40804</v>
      </c>
      <c r="C238" t="s">
        <v>12</v>
      </c>
      <c r="D238" t="s">
        <v>13</v>
      </c>
      <c r="E238" t="s">
        <v>24</v>
      </c>
      <c r="F238">
        <v>33</v>
      </c>
      <c r="G238">
        <v>15143</v>
      </c>
      <c r="H238">
        <v>4</v>
      </c>
      <c r="I238">
        <v>2</v>
      </c>
      <c r="J238" t="s">
        <v>20</v>
      </c>
      <c r="K238" t="s">
        <v>32</v>
      </c>
      <c r="L238" t="s">
        <v>21</v>
      </c>
    </row>
    <row r="239" spans="1:12" x14ac:dyDescent="0.2">
      <c r="A239">
        <v>238</v>
      </c>
      <c r="B239" s="1">
        <v>41413</v>
      </c>
      <c r="C239" t="s">
        <v>28</v>
      </c>
      <c r="D239" t="s">
        <v>29</v>
      </c>
      <c r="E239" t="s">
        <v>14</v>
      </c>
      <c r="F239">
        <v>33</v>
      </c>
      <c r="G239">
        <v>8996</v>
      </c>
      <c r="H239">
        <v>14</v>
      </c>
      <c r="I239">
        <v>2</v>
      </c>
      <c r="J239" t="s">
        <v>20</v>
      </c>
      <c r="K239" t="s">
        <v>27</v>
      </c>
      <c r="L239" t="s">
        <v>17</v>
      </c>
    </row>
    <row r="240" spans="1:12" x14ac:dyDescent="0.2">
      <c r="A240">
        <v>239</v>
      </c>
      <c r="B240" s="1">
        <v>41753</v>
      </c>
      <c r="C240" t="s">
        <v>18</v>
      </c>
      <c r="D240" t="s">
        <v>26</v>
      </c>
      <c r="E240" t="s">
        <v>24</v>
      </c>
      <c r="F240">
        <v>30</v>
      </c>
      <c r="G240">
        <v>7930</v>
      </c>
      <c r="H240">
        <v>9</v>
      </c>
      <c r="I240">
        <v>1</v>
      </c>
      <c r="J240" t="s">
        <v>15</v>
      </c>
      <c r="K240" t="s">
        <v>27</v>
      </c>
      <c r="L240" t="s">
        <v>34</v>
      </c>
    </row>
    <row r="241" spans="1:12" x14ac:dyDescent="0.2">
      <c r="A241">
        <v>240</v>
      </c>
      <c r="B241" s="1">
        <v>44097</v>
      </c>
      <c r="C241" t="s">
        <v>18</v>
      </c>
      <c r="D241" t="s">
        <v>19</v>
      </c>
      <c r="E241" t="s">
        <v>24</v>
      </c>
      <c r="F241">
        <v>29</v>
      </c>
      <c r="G241">
        <v>4079</v>
      </c>
      <c r="H241">
        <v>1</v>
      </c>
      <c r="I241">
        <v>1</v>
      </c>
      <c r="J241" t="s">
        <v>20</v>
      </c>
      <c r="K241" t="s">
        <v>27</v>
      </c>
      <c r="L241" t="s">
        <v>17</v>
      </c>
    </row>
    <row r="242" spans="1:12" x14ac:dyDescent="0.2">
      <c r="A242">
        <v>241</v>
      </c>
      <c r="B242" s="1">
        <v>44907</v>
      </c>
      <c r="C242" t="s">
        <v>12</v>
      </c>
      <c r="D242" t="s">
        <v>13</v>
      </c>
      <c r="E242" t="s">
        <v>14</v>
      </c>
      <c r="F242">
        <v>22</v>
      </c>
      <c r="G242">
        <v>8938</v>
      </c>
      <c r="H242">
        <v>6</v>
      </c>
      <c r="I242">
        <v>1</v>
      </c>
      <c r="J242" t="s">
        <v>20</v>
      </c>
      <c r="K242" t="s">
        <v>32</v>
      </c>
      <c r="L242" t="s">
        <v>25</v>
      </c>
    </row>
    <row r="243" spans="1:12" x14ac:dyDescent="0.2">
      <c r="A243">
        <v>242</v>
      </c>
      <c r="B243" s="1">
        <v>42291</v>
      </c>
      <c r="C243" t="s">
        <v>36</v>
      </c>
      <c r="D243" t="s">
        <v>42</v>
      </c>
      <c r="E243" t="s">
        <v>14</v>
      </c>
      <c r="F243">
        <v>39</v>
      </c>
      <c r="G243">
        <v>4150</v>
      </c>
      <c r="H243">
        <v>13</v>
      </c>
      <c r="I243">
        <v>3</v>
      </c>
      <c r="J243" t="s">
        <v>20</v>
      </c>
      <c r="K243" t="s">
        <v>16</v>
      </c>
      <c r="L243" t="s">
        <v>34</v>
      </c>
    </row>
    <row r="244" spans="1:12" x14ac:dyDescent="0.2">
      <c r="A244">
        <v>243</v>
      </c>
      <c r="B244" s="1">
        <v>41547</v>
      </c>
      <c r="C244" t="s">
        <v>36</v>
      </c>
      <c r="D244" t="s">
        <v>40</v>
      </c>
      <c r="E244" t="s">
        <v>24</v>
      </c>
      <c r="F244">
        <v>44</v>
      </c>
      <c r="G244">
        <v>19019</v>
      </c>
      <c r="H244">
        <v>11</v>
      </c>
      <c r="I244">
        <v>3</v>
      </c>
      <c r="J244" t="s">
        <v>20</v>
      </c>
      <c r="K244" t="s">
        <v>16</v>
      </c>
      <c r="L244" t="s">
        <v>25</v>
      </c>
    </row>
    <row r="245" spans="1:12" x14ac:dyDescent="0.2">
      <c r="A245">
        <v>244</v>
      </c>
      <c r="B245" s="1">
        <v>42869</v>
      </c>
      <c r="C245" t="s">
        <v>28</v>
      </c>
      <c r="D245" t="s">
        <v>33</v>
      </c>
      <c r="E245" t="s">
        <v>14</v>
      </c>
      <c r="F245">
        <v>44</v>
      </c>
      <c r="G245">
        <v>6943</v>
      </c>
      <c r="H245">
        <v>15</v>
      </c>
      <c r="I245">
        <v>3</v>
      </c>
      <c r="J245" t="s">
        <v>20</v>
      </c>
      <c r="K245" t="s">
        <v>16</v>
      </c>
      <c r="L245" t="s">
        <v>39</v>
      </c>
    </row>
    <row r="246" spans="1:12" x14ac:dyDescent="0.2">
      <c r="A246">
        <v>245</v>
      </c>
      <c r="B246" s="1">
        <v>44828</v>
      </c>
      <c r="C246" t="s">
        <v>12</v>
      </c>
      <c r="D246" t="s">
        <v>41</v>
      </c>
      <c r="E246" t="s">
        <v>14</v>
      </c>
      <c r="F246">
        <v>29</v>
      </c>
      <c r="G246">
        <v>16879</v>
      </c>
      <c r="H246">
        <v>0</v>
      </c>
      <c r="I246">
        <v>3</v>
      </c>
      <c r="J246" t="s">
        <v>20</v>
      </c>
      <c r="K246" t="s">
        <v>16</v>
      </c>
      <c r="L246" t="s">
        <v>17</v>
      </c>
    </row>
    <row r="247" spans="1:12" x14ac:dyDescent="0.2">
      <c r="A247">
        <v>246</v>
      </c>
      <c r="B247" s="1">
        <v>43280</v>
      </c>
      <c r="C247" t="s">
        <v>28</v>
      </c>
      <c r="D247" t="s">
        <v>33</v>
      </c>
      <c r="E247" t="s">
        <v>24</v>
      </c>
      <c r="F247">
        <v>53</v>
      </c>
      <c r="G247">
        <v>18039</v>
      </c>
      <c r="H247">
        <v>9</v>
      </c>
      <c r="I247">
        <v>5</v>
      </c>
      <c r="J247" t="s">
        <v>15</v>
      </c>
      <c r="K247" t="s">
        <v>32</v>
      </c>
      <c r="L247" t="s">
        <v>25</v>
      </c>
    </row>
    <row r="248" spans="1:12" x14ac:dyDescent="0.2">
      <c r="A248">
        <v>247</v>
      </c>
      <c r="B248" s="1">
        <v>44478</v>
      </c>
      <c r="C248" t="s">
        <v>36</v>
      </c>
      <c r="D248" t="s">
        <v>42</v>
      </c>
      <c r="E248" t="s">
        <v>14</v>
      </c>
      <c r="F248">
        <v>46</v>
      </c>
      <c r="G248">
        <v>14599</v>
      </c>
      <c r="H248">
        <v>7</v>
      </c>
      <c r="I248">
        <v>1</v>
      </c>
      <c r="J248" t="s">
        <v>15</v>
      </c>
      <c r="K248" t="s">
        <v>16</v>
      </c>
      <c r="L248" t="s">
        <v>34</v>
      </c>
    </row>
    <row r="249" spans="1:12" x14ac:dyDescent="0.2">
      <c r="A249">
        <v>248</v>
      </c>
      <c r="B249" s="1">
        <v>42418</v>
      </c>
      <c r="C249" t="s">
        <v>36</v>
      </c>
      <c r="D249" t="s">
        <v>37</v>
      </c>
      <c r="E249" t="s">
        <v>14</v>
      </c>
      <c r="F249">
        <v>38</v>
      </c>
      <c r="G249">
        <v>6074</v>
      </c>
      <c r="H249">
        <v>10</v>
      </c>
      <c r="I249">
        <v>3</v>
      </c>
      <c r="J249" t="s">
        <v>20</v>
      </c>
      <c r="K249" t="s">
        <v>32</v>
      </c>
      <c r="L249" t="s">
        <v>39</v>
      </c>
    </row>
    <row r="250" spans="1:12" x14ac:dyDescent="0.2">
      <c r="A250">
        <v>249</v>
      </c>
      <c r="B250" s="1">
        <v>42151</v>
      </c>
      <c r="C250" t="s">
        <v>30</v>
      </c>
      <c r="D250" t="s">
        <v>31</v>
      </c>
      <c r="E250" t="s">
        <v>24</v>
      </c>
      <c r="F250">
        <v>43</v>
      </c>
      <c r="G250">
        <v>9356</v>
      </c>
      <c r="H250">
        <v>3</v>
      </c>
      <c r="I250">
        <v>4</v>
      </c>
      <c r="J250" t="s">
        <v>15</v>
      </c>
      <c r="K250" t="s">
        <v>27</v>
      </c>
      <c r="L250" t="s">
        <v>17</v>
      </c>
    </row>
    <row r="251" spans="1:12" x14ac:dyDescent="0.2">
      <c r="A251">
        <v>250</v>
      </c>
      <c r="B251" s="1">
        <v>40721</v>
      </c>
      <c r="C251" t="s">
        <v>36</v>
      </c>
      <c r="D251" t="s">
        <v>40</v>
      </c>
      <c r="E251" t="s">
        <v>14</v>
      </c>
      <c r="F251">
        <v>60</v>
      </c>
      <c r="G251">
        <v>8927</v>
      </c>
      <c r="H251">
        <v>5</v>
      </c>
      <c r="I251">
        <v>2</v>
      </c>
      <c r="J251" t="s">
        <v>15</v>
      </c>
      <c r="K251" t="s">
        <v>16</v>
      </c>
      <c r="L251" t="s">
        <v>39</v>
      </c>
    </row>
    <row r="252" spans="1:12" x14ac:dyDescent="0.2">
      <c r="A252">
        <v>251</v>
      </c>
      <c r="B252" s="1">
        <v>43401</v>
      </c>
      <c r="C252" t="s">
        <v>12</v>
      </c>
      <c r="D252" t="s">
        <v>13</v>
      </c>
      <c r="E252" t="s">
        <v>24</v>
      </c>
      <c r="F252">
        <v>51</v>
      </c>
      <c r="G252">
        <v>7013</v>
      </c>
      <c r="H252">
        <v>7</v>
      </c>
      <c r="I252">
        <v>5</v>
      </c>
      <c r="J252" t="s">
        <v>15</v>
      </c>
      <c r="K252" t="s">
        <v>32</v>
      </c>
      <c r="L252" t="s">
        <v>21</v>
      </c>
    </row>
    <row r="253" spans="1:12" x14ac:dyDescent="0.2">
      <c r="A253">
        <v>252</v>
      </c>
      <c r="B253" s="1">
        <v>44881</v>
      </c>
      <c r="C253" t="s">
        <v>36</v>
      </c>
      <c r="D253" t="s">
        <v>37</v>
      </c>
      <c r="E253" t="s">
        <v>24</v>
      </c>
      <c r="F253">
        <v>58</v>
      </c>
      <c r="G253">
        <v>17241</v>
      </c>
      <c r="H253">
        <v>11</v>
      </c>
      <c r="I253">
        <v>4</v>
      </c>
      <c r="J253" t="s">
        <v>15</v>
      </c>
      <c r="K253" t="s">
        <v>32</v>
      </c>
      <c r="L253" t="s">
        <v>39</v>
      </c>
    </row>
    <row r="254" spans="1:12" x14ac:dyDescent="0.2">
      <c r="A254">
        <v>253</v>
      </c>
      <c r="B254" s="1">
        <v>40426</v>
      </c>
      <c r="C254" t="s">
        <v>28</v>
      </c>
      <c r="D254" t="s">
        <v>29</v>
      </c>
      <c r="E254" t="s">
        <v>14</v>
      </c>
      <c r="F254">
        <v>52</v>
      </c>
      <c r="G254">
        <v>4280</v>
      </c>
      <c r="H254">
        <v>5</v>
      </c>
      <c r="I254">
        <v>3</v>
      </c>
      <c r="J254" t="s">
        <v>20</v>
      </c>
      <c r="K254" t="s">
        <v>32</v>
      </c>
      <c r="L254" t="s">
        <v>25</v>
      </c>
    </row>
    <row r="255" spans="1:12" x14ac:dyDescent="0.2">
      <c r="A255">
        <v>254</v>
      </c>
      <c r="B255" s="1">
        <v>43447</v>
      </c>
      <c r="C255" t="s">
        <v>30</v>
      </c>
      <c r="D255" t="s">
        <v>38</v>
      </c>
      <c r="E255" t="s">
        <v>14</v>
      </c>
      <c r="F255">
        <v>41</v>
      </c>
      <c r="G255">
        <v>18424</v>
      </c>
      <c r="H255">
        <v>0</v>
      </c>
      <c r="I255">
        <v>2</v>
      </c>
      <c r="J255" t="s">
        <v>20</v>
      </c>
      <c r="K255" t="s">
        <v>16</v>
      </c>
      <c r="L255" t="s">
        <v>34</v>
      </c>
    </row>
    <row r="256" spans="1:12" x14ac:dyDescent="0.2">
      <c r="A256">
        <v>255</v>
      </c>
      <c r="B256" s="1">
        <v>43374</v>
      </c>
      <c r="C256" t="s">
        <v>12</v>
      </c>
      <c r="D256" t="s">
        <v>13</v>
      </c>
      <c r="E256" t="s">
        <v>24</v>
      </c>
      <c r="F256">
        <v>51</v>
      </c>
      <c r="G256">
        <v>5339</v>
      </c>
      <c r="H256">
        <v>7</v>
      </c>
      <c r="I256">
        <v>2</v>
      </c>
      <c r="J256" t="s">
        <v>20</v>
      </c>
      <c r="K256" t="s">
        <v>16</v>
      </c>
      <c r="L256" t="s">
        <v>21</v>
      </c>
    </row>
    <row r="257" spans="1:12" x14ac:dyDescent="0.2">
      <c r="A257">
        <v>256</v>
      </c>
      <c r="B257" s="1">
        <v>42285</v>
      </c>
      <c r="C257" t="s">
        <v>12</v>
      </c>
      <c r="D257" t="s">
        <v>41</v>
      </c>
      <c r="E257" t="s">
        <v>24</v>
      </c>
      <c r="F257">
        <v>43</v>
      </c>
      <c r="G257">
        <v>11145</v>
      </c>
      <c r="H257">
        <v>3</v>
      </c>
      <c r="I257">
        <v>2</v>
      </c>
      <c r="J257" t="s">
        <v>15</v>
      </c>
      <c r="K257" t="s">
        <v>32</v>
      </c>
      <c r="L257" t="s">
        <v>17</v>
      </c>
    </row>
    <row r="258" spans="1:12" x14ac:dyDescent="0.2">
      <c r="A258">
        <v>257</v>
      </c>
      <c r="B258" s="1">
        <v>43870</v>
      </c>
      <c r="C258" t="s">
        <v>12</v>
      </c>
      <c r="D258" t="s">
        <v>13</v>
      </c>
      <c r="E258" t="s">
        <v>24</v>
      </c>
      <c r="F258">
        <v>31</v>
      </c>
      <c r="G258">
        <v>11061</v>
      </c>
      <c r="H258">
        <v>8</v>
      </c>
      <c r="I258">
        <v>3</v>
      </c>
      <c r="J258" t="s">
        <v>15</v>
      </c>
      <c r="K258" t="s">
        <v>27</v>
      </c>
      <c r="L258" t="s">
        <v>21</v>
      </c>
    </row>
    <row r="259" spans="1:12" x14ac:dyDescent="0.2">
      <c r="A259">
        <v>258</v>
      </c>
      <c r="B259" s="1">
        <v>41471</v>
      </c>
      <c r="C259" t="s">
        <v>22</v>
      </c>
      <c r="D259" t="s">
        <v>23</v>
      </c>
      <c r="E259" t="s">
        <v>14</v>
      </c>
      <c r="F259">
        <v>40</v>
      </c>
      <c r="G259">
        <v>6978</v>
      </c>
      <c r="H259">
        <v>6</v>
      </c>
      <c r="I259">
        <v>1</v>
      </c>
      <c r="J259" t="s">
        <v>20</v>
      </c>
      <c r="K259" t="s">
        <v>27</v>
      </c>
      <c r="L259" t="s">
        <v>34</v>
      </c>
    </row>
    <row r="260" spans="1:12" x14ac:dyDescent="0.2">
      <c r="A260">
        <v>259</v>
      </c>
      <c r="B260" s="1">
        <v>44049</v>
      </c>
      <c r="C260" t="s">
        <v>28</v>
      </c>
      <c r="D260" t="s">
        <v>33</v>
      </c>
      <c r="E260" t="s">
        <v>24</v>
      </c>
      <c r="F260">
        <v>43</v>
      </c>
      <c r="G260">
        <v>12508</v>
      </c>
      <c r="H260">
        <v>2</v>
      </c>
      <c r="I260">
        <v>4</v>
      </c>
      <c r="J260" t="s">
        <v>20</v>
      </c>
      <c r="K260" t="s">
        <v>32</v>
      </c>
      <c r="L260" t="s">
        <v>34</v>
      </c>
    </row>
    <row r="261" spans="1:12" x14ac:dyDescent="0.2">
      <c r="A261">
        <v>260</v>
      </c>
      <c r="B261" s="1">
        <v>43726</v>
      </c>
      <c r="C261" t="s">
        <v>28</v>
      </c>
      <c r="D261" t="s">
        <v>33</v>
      </c>
      <c r="E261" t="s">
        <v>14</v>
      </c>
      <c r="F261">
        <v>55</v>
      </c>
      <c r="G261">
        <v>8049</v>
      </c>
      <c r="H261">
        <v>2</v>
      </c>
      <c r="I261">
        <v>4</v>
      </c>
      <c r="J261" t="s">
        <v>15</v>
      </c>
      <c r="K261" t="s">
        <v>27</v>
      </c>
      <c r="L261" t="s">
        <v>17</v>
      </c>
    </row>
    <row r="262" spans="1:12" x14ac:dyDescent="0.2">
      <c r="A262">
        <v>261</v>
      </c>
      <c r="B262" s="1">
        <v>42712</v>
      </c>
      <c r="C262" t="s">
        <v>36</v>
      </c>
      <c r="D262" t="s">
        <v>42</v>
      </c>
      <c r="E262" t="s">
        <v>24</v>
      </c>
      <c r="F262">
        <v>35</v>
      </c>
      <c r="G262">
        <v>8266</v>
      </c>
      <c r="H262">
        <v>13</v>
      </c>
      <c r="I262">
        <v>2</v>
      </c>
      <c r="J262" t="s">
        <v>20</v>
      </c>
      <c r="K262" t="s">
        <v>32</v>
      </c>
      <c r="L262" t="s">
        <v>34</v>
      </c>
    </row>
    <row r="263" spans="1:12" x14ac:dyDescent="0.2">
      <c r="A263">
        <v>262</v>
      </c>
      <c r="B263" s="1">
        <v>44315</v>
      </c>
      <c r="C263" t="s">
        <v>12</v>
      </c>
      <c r="D263" t="s">
        <v>41</v>
      </c>
      <c r="E263" t="s">
        <v>24</v>
      </c>
      <c r="F263">
        <v>32</v>
      </c>
      <c r="G263">
        <v>11633</v>
      </c>
      <c r="H263">
        <v>7</v>
      </c>
      <c r="I263">
        <v>1</v>
      </c>
      <c r="J263" t="s">
        <v>15</v>
      </c>
      <c r="K263" t="s">
        <v>32</v>
      </c>
      <c r="L263" t="s">
        <v>17</v>
      </c>
    </row>
    <row r="264" spans="1:12" x14ac:dyDescent="0.2">
      <c r="A264">
        <v>263</v>
      </c>
      <c r="B264" s="1">
        <v>44321</v>
      </c>
      <c r="C264" t="s">
        <v>22</v>
      </c>
      <c r="D264" t="s">
        <v>23</v>
      </c>
      <c r="E264" t="s">
        <v>14</v>
      </c>
      <c r="F264">
        <v>60</v>
      </c>
      <c r="G264">
        <v>9623</v>
      </c>
      <c r="H264">
        <v>0</v>
      </c>
      <c r="I264">
        <v>4</v>
      </c>
      <c r="J264" t="s">
        <v>15</v>
      </c>
      <c r="K264" t="s">
        <v>27</v>
      </c>
      <c r="L264" t="s">
        <v>39</v>
      </c>
    </row>
    <row r="265" spans="1:12" x14ac:dyDescent="0.2">
      <c r="A265">
        <v>264</v>
      </c>
      <c r="B265" s="1">
        <v>43705</v>
      </c>
      <c r="C265" t="s">
        <v>12</v>
      </c>
      <c r="D265" t="s">
        <v>13</v>
      </c>
      <c r="E265" t="s">
        <v>24</v>
      </c>
      <c r="F265">
        <v>33</v>
      </c>
      <c r="G265">
        <v>12343</v>
      </c>
      <c r="H265">
        <v>10</v>
      </c>
      <c r="I265">
        <v>1</v>
      </c>
      <c r="J265" t="s">
        <v>20</v>
      </c>
      <c r="K265" t="s">
        <v>32</v>
      </c>
      <c r="L265" t="s">
        <v>34</v>
      </c>
    </row>
    <row r="266" spans="1:12" x14ac:dyDescent="0.2">
      <c r="A266">
        <v>265</v>
      </c>
      <c r="B266" s="1">
        <v>42131</v>
      </c>
      <c r="C266" t="s">
        <v>12</v>
      </c>
      <c r="D266" t="s">
        <v>41</v>
      </c>
      <c r="E266" t="s">
        <v>14</v>
      </c>
      <c r="F266">
        <v>22</v>
      </c>
      <c r="G266">
        <v>8190</v>
      </c>
      <c r="H266">
        <v>14</v>
      </c>
      <c r="I266">
        <v>2</v>
      </c>
      <c r="J266" t="s">
        <v>15</v>
      </c>
      <c r="K266" t="s">
        <v>32</v>
      </c>
      <c r="L266" t="s">
        <v>34</v>
      </c>
    </row>
    <row r="267" spans="1:12" x14ac:dyDescent="0.2">
      <c r="A267">
        <v>266</v>
      </c>
      <c r="B267" s="1">
        <v>44612</v>
      </c>
      <c r="C267" t="s">
        <v>28</v>
      </c>
      <c r="D267" t="s">
        <v>33</v>
      </c>
      <c r="E267" t="s">
        <v>14</v>
      </c>
      <c r="F267">
        <v>26</v>
      </c>
      <c r="G267">
        <v>12008</v>
      </c>
      <c r="H267">
        <v>0</v>
      </c>
      <c r="I267">
        <v>1</v>
      </c>
      <c r="J267" t="s">
        <v>20</v>
      </c>
      <c r="K267" t="s">
        <v>27</v>
      </c>
      <c r="L267" t="s">
        <v>25</v>
      </c>
    </row>
    <row r="268" spans="1:12" x14ac:dyDescent="0.2">
      <c r="A268">
        <v>267</v>
      </c>
      <c r="B268" s="1">
        <v>40508</v>
      </c>
      <c r="C268" t="s">
        <v>30</v>
      </c>
      <c r="D268" t="s">
        <v>38</v>
      </c>
      <c r="E268" t="s">
        <v>24</v>
      </c>
      <c r="F268">
        <v>56</v>
      </c>
      <c r="G268">
        <v>8323</v>
      </c>
      <c r="H268">
        <v>9</v>
      </c>
      <c r="I268">
        <v>2</v>
      </c>
      <c r="J268" t="s">
        <v>15</v>
      </c>
      <c r="K268" t="s">
        <v>27</v>
      </c>
      <c r="L268" t="s">
        <v>25</v>
      </c>
    </row>
    <row r="269" spans="1:12" x14ac:dyDescent="0.2">
      <c r="A269">
        <v>268</v>
      </c>
      <c r="B269" s="1">
        <v>44566</v>
      </c>
      <c r="C269" t="s">
        <v>18</v>
      </c>
      <c r="D269" t="s">
        <v>19</v>
      </c>
      <c r="E269" t="s">
        <v>14</v>
      </c>
      <c r="F269">
        <v>50</v>
      </c>
      <c r="G269">
        <v>14506</v>
      </c>
      <c r="H269">
        <v>15</v>
      </c>
      <c r="I269">
        <v>1</v>
      </c>
      <c r="J269" t="s">
        <v>20</v>
      </c>
      <c r="K269" t="s">
        <v>16</v>
      </c>
      <c r="L269" t="s">
        <v>25</v>
      </c>
    </row>
    <row r="270" spans="1:12" x14ac:dyDescent="0.2">
      <c r="A270">
        <v>269</v>
      </c>
      <c r="B270" s="1">
        <v>40941</v>
      </c>
      <c r="C270" t="s">
        <v>18</v>
      </c>
      <c r="D270" t="s">
        <v>26</v>
      </c>
      <c r="E270" t="s">
        <v>14</v>
      </c>
      <c r="F270">
        <v>46</v>
      </c>
      <c r="G270">
        <v>7397</v>
      </c>
      <c r="H270">
        <v>13</v>
      </c>
      <c r="I270">
        <v>4</v>
      </c>
      <c r="J270" t="s">
        <v>20</v>
      </c>
      <c r="K270" t="s">
        <v>32</v>
      </c>
      <c r="L270" t="s">
        <v>21</v>
      </c>
    </row>
    <row r="271" spans="1:12" x14ac:dyDescent="0.2">
      <c r="A271">
        <v>270</v>
      </c>
      <c r="B271" s="1">
        <v>42068</v>
      </c>
      <c r="C271" t="s">
        <v>28</v>
      </c>
      <c r="D271" t="s">
        <v>29</v>
      </c>
      <c r="E271" t="s">
        <v>14</v>
      </c>
      <c r="F271">
        <v>29</v>
      </c>
      <c r="G271">
        <v>16381</v>
      </c>
      <c r="H271">
        <v>7</v>
      </c>
      <c r="I271">
        <v>3</v>
      </c>
      <c r="J271" t="s">
        <v>15</v>
      </c>
      <c r="K271" t="s">
        <v>32</v>
      </c>
      <c r="L271" t="s">
        <v>34</v>
      </c>
    </row>
    <row r="272" spans="1:12" x14ac:dyDescent="0.2">
      <c r="A272">
        <v>271</v>
      </c>
      <c r="B272" s="1">
        <v>41584</v>
      </c>
      <c r="C272" t="s">
        <v>12</v>
      </c>
      <c r="D272" t="s">
        <v>13</v>
      </c>
      <c r="E272" t="s">
        <v>24</v>
      </c>
      <c r="F272">
        <v>32</v>
      </c>
      <c r="G272">
        <v>6577</v>
      </c>
      <c r="H272">
        <v>12</v>
      </c>
      <c r="I272">
        <v>1</v>
      </c>
      <c r="J272" t="s">
        <v>15</v>
      </c>
      <c r="K272" t="s">
        <v>32</v>
      </c>
      <c r="L272" t="s">
        <v>21</v>
      </c>
    </row>
    <row r="273" spans="1:12" x14ac:dyDescent="0.2">
      <c r="A273">
        <v>272</v>
      </c>
      <c r="B273" s="1">
        <v>41363</v>
      </c>
      <c r="C273" t="s">
        <v>18</v>
      </c>
      <c r="D273" t="s">
        <v>19</v>
      </c>
      <c r="E273" t="s">
        <v>14</v>
      </c>
      <c r="F273">
        <v>51</v>
      </c>
      <c r="G273">
        <v>17711</v>
      </c>
      <c r="H273">
        <v>8</v>
      </c>
      <c r="I273">
        <v>1</v>
      </c>
      <c r="J273" t="s">
        <v>20</v>
      </c>
      <c r="K273" t="s">
        <v>32</v>
      </c>
      <c r="L273" t="s">
        <v>21</v>
      </c>
    </row>
    <row r="274" spans="1:12" x14ac:dyDescent="0.2">
      <c r="A274">
        <v>273</v>
      </c>
      <c r="B274" s="1">
        <v>41977</v>
      </c>
      <c r="C274" t="s">
        <v>30</v>
      </c>
      <c r="D274" t="s">
        <v>31</v>
      </c>
      <c r="E274" t="s">
        <v>24</v>
      </c>
      <c r="F274">
        <v>38</v>
      </c>
      <c r="G274">
        <v>11299</v>
      </c>
      <c r="H274">
        <v>5</v>
      </c>
      <c r="I274">
        <v>4</v>
      </c>
      <c r="J274" t="s">
        <v>20</v>
      </c>
      <c r="K274" t="s">
        <v>32</v>
      </c>
      <c r="L274" t="s">
        <v>34</v>
      </c>
    </row>
    <row r="275" spans="1:12" x14ac:dyDescent="0.2">
      <c r="A275">
        <v>274</v>
      </c>
      <c r="B275" s="1">
        <v>40601</v>
      </c>
      <c r="C275" t="s">
        <v>12</v>
      </c>
      <c r="D275" t="s">
        <v>13</v>
      </c>
      <c r="E275" t="s">
        <v>24</v>
      </c>
      <c r="F275">
        <v>32</v>
      </c>
      <c r="G275">
        <v>4140</v>
      </c>
      <c r="H275">
        <v>5</v>
      </c>
      <c r="I275">
        <v>5</v>
      </c>
      <c r="J275" t="s">
        <v>20</v>
      </c>
      <c r="K275" t="s">
        <v>16</v>
      </c>
      <c r="L275" t="s">
        <v>34</v>
      </c>
    </row>
    <row r="276" spans="1:12" x14ac:dyDescent="0.2">
      <c r="A276">
        <v>275</v>
      </c>
      <c r="B276" s="1">
        <v>44045</v>
      </c>
      <c r="C276" t="s">
        <v>18</v>
      </c>
      <c r="D276" t="s">
        <v>19</v>
      </c>
      <c r="E276" t="s">
        <v>24</v>
      </c>
      <c r="F276">
        <v>55</v>
      </c>
      <c r="G276">
        <v>19218</v>
      </c>
      <c r="H276">
        <v>11</v>
      </c>
      <c r="I276">
        <v>5</v>
      </c>
      <c r="J276" t="s">
        <v>20</v>
      </c>
      <c r="K276" t="s">
        <v>32</v>
      </c>
      <c r="L276" t="s">
        <v>17</v>
      </c>
    </row>
    <row r="277" spans="1:12" x14ac:dyDescent="0.2">
      <c r="A277">
        <v>276</v>
      </c>
      <c r="B277" s="1">
        <v>40236</v>
      </c>
      <c r="C277" t="s">
        <v>30</v>
      </c>
      <c r="D277" t="s">
        <v>38</v>
      </c>
      <c r="E277" t="s">
        <v>14</v>
      </c>
      <c r="F277">
        <v>56</v>
      </c>
      <c r="G277">
        <v>15061</v>
      </c>
      <c r="H277">
        <v>1</v>
      </c>
      <c r="I277">
        <v>3</v>
      </c>
      <c r="J277" t="s">
        <v>15</v>
      </c>
      <c r="K277" t="s">
        <v>16</v>
      </c>
      <c r="L277" t="s">
        <v>25</v>
      </c>
    </row>
    <row r="278" spans="1:12" x14ac:dyDescent="0.2">
      <c r="A278">
        <v>277</v>
      </c>
      <c r="B278" s="1">
        <v>41163</v>
      </c>
      <c r="C278" t="s">
        <v>30</v>
      </c>
      <c r="D278" t="s">
        <v>31</v>
      </c>
      <c r="E278" t="s">
        <v>14</v>
      </c>
      <c r="F278">
        <v>37</v>
      </c>
      <c r="G278">
        <v>10994</v>
      </c>
      <c r="H278">
        <v>15</v>
      </c>
      <c r="I278">
        <v>4</v>
      </c>
      <c r="J278" t="s">
        <v>20</v>
      </c>
      <c r="K278" t="s">
        <v>16</v>
      </c>
      <c r="L278" t="s">
        <v>25</v>
      </c>
    </row>
    <row r="279" spans="1:12" x14ac:dyDescent="0.2">
      <c r="A279">
        <v>278</v>
      </c>
      <c r="B279" s="1">
        <v>41343</v>
      </c>
      <c r="C279" t="s">
        <v>28</v>
      </c>
      <c r="D279" t="s">
        <v>33</v>
      </c>
      <c r="E279" t="s">
        <v>14</v>
      </c>
      <c r="F279">
        <v>27</v>
      </c>
      <c r="G279">
        <v>6223</v>
      </c>
      <c r="H279">
        <v>1</v>
      </c>
      <c r="I279">
        <v>1</v>
      </c>
      <c r="J279" t="s">
        <v>20</v>
      </c>
      <c r="K279" t="s">
        <v>16</v>
      </c>
      <c r="L279" t="s">
        <v>25</v>
      </c>
    </row>
    <row r="280" spans="1:12" x14ac:dyDescent="0.2">
      <c r="A280">
        <v>279</v>
      </c>
      <c r="B280" s="1">
        <v>45101</v>
      </c>
      <c r="C280" t="s">
        <v>22</v>
      </c>
      <c r="D280" t="s">
        <v>23</v>
      </c>
      <c r="E280" t="s">
        <v>14</v>
      </c>
      <c r="F280">
        <v>46</v>
      </c>
      <c r="G280">
        <v>18462</v>
      </c>
      <c r="H280">
        <v>12</v>
      </c>
      <c r="I280">
        <v>3</v>
      </c>
      <c r="J280" t="s">
        <v>15</v>
      </c>
      <c r="K280" t="s">
        <v>27</v>
      </c>
      <c r="L280" t="s">
        <v>34</v>
      </c>
    </row>
    <row r="281" spans="1:12" x14ac:dyDescent="0.2">
      <c r="A281">
        <v>280</v>
      </c>
      <c r="B281" s="1">
        <v>41557</v>
      </c>
      <c r="C281" t="s">
        <v>36</v>
      </c>
      <c r="D281" t="s">
        <v>42</v>
      </c>
      <c r="E281" t="s">
        <v>24</v>
      </c>
      <c r="F281">
        <v>45</v>
      </c>
      <c r="G281">
        <v>7544</v>
      </c>
      <c r="H281">
        <v>2</v>
      </c>
      <c r="I281">
        <v>4</v>
      </c>
      <c r="J281" t="s">
        <v>20</v>
      </c>
      <c r="K281" t="s">
        <v>16</v>
      </c>
      <c r="L281" t="s">
        <v>34</v>
      </c>
    </row>
    <row r="282" spans="1:12" x14ac:dyDescent="0.2">
      <c r="A282">
        <v>281</v>
      </c>
      <c r="B282" s="1">
        <v>40624</v>
      </c>
      <c r="C282" t="s">
        <v>36</v>
      </c>
      <c r="D282" t="s">
        <v>42</v>
      </c>
      <c r="E282" t="s">
        <v>24</v>
      </c>
      <c r="F282">
        <v>35</v>
      </c>
      <c r="G282">
        <v>16492</v>
      </c>
      <c r="H282">
        <v>13</v>
      </c>
      <c r="I282">
        <v>2</v>
      </c>
      <c r="J282" t="s">
        <v>20</v>
      </c>
      <c r="K282" t="s">
        <v>32</v>
      </c>
      <c r="L282" t="s">
        <v>17</v>
      </c>
    </row>
    <row r="283" spans="1:12" x14ac:dyDescent="0.2">
      <c r="A283">
        <v>282</v>
      </c>
      <c r="B283" s="1">
        <v>44201</v>
      </c>
      <c r="C283" t="s">
        <v>22</v>
      </c>
      <c r="D283" t="s">
        <v>35</v>
      </c>
      <c r="E283" t="s">
        <v>14</v>
      </c>
      <c r="F283">
        <v>45</v>
      </c>
      <c r="G283">
        <v>19673</v>
      </c>
      <c r="H283">
        <v>1</v>
      </c>
      <c r="I283">
        <v>2</v>
      </c>
      <c r="J283" t="s">
        <v>20</v>
      </c>
      <c r="K283" t="s">
        <v>32</v>
      </c>
      <c r="L283" t="s">
        <v>17</v>
      </c>
    </row>
    <row r="284" spans="1:12" x14ac:dyDescent="0.2">
      <c r="A284">
        <v>283</v>
      </c>
      <c r="B284" s="1">
        <v>43974</v>
      </c>
      <c r="C284" t="s">
        <v>36</v>
      </c>
      <c r="D284" t="s">
        <v>37</v>
      </c>
      <c r="E284" t="s">
        <v>14</v>
      </c>
      <c r="F284">
        <v>41</v>
      </c>
      <c r="G284">
        <v>7135</v>
      </c>
      <c r="H284">
        <v>14</v>
      </c>
      <c r="I284">
        <v>2</v>
      </c>
      <c r="J284" t="s">
        <v>20</v>
      </c>
      <c r="K284" t="s">
        <v>32</v>
      </c>
      <c r="L284" t="s">
        <v>39</v>
      </c>
    </row>
    <row r="285" spans="1:12" x14ac:dyDescent="0.2">
      <c r="A285">
        <v>284</v>
      </c>
      <c r="B285" s="1">
        <v>42828</v>
      </c>
      <c r="C285" t="s">
        <v>22</v>
      </c>
      <c r="D285" t="s">
        <v>35</v>
      </c>
      <c r="E285" t="s">
        <v>14</v>
      </c>
      <c r="F285">
        <v>50</v>
      </c>
      <c r="G285">
        <v>15483</v>
      </c>
      <c r="H285">
        <v>15</v>
      </c>
      <c r="I285">
        <v>2</v>
      </c>
      <c r="J285" t="s">
        <v>20</v>
      </c>
      <c r="K285" t="s">
        <v>32</v>
      </c>
      <c r="L285" t="s">
        <v>39</v>
      </c>
    </row>
    <row r="286" spans="1:12" x14ac:dyDescent="0.2">
      <c r="A286">
        <v>285</v>
      </c>
      <c r="B286" s="1">
        <v>43656</v>
      </c>
      <c r="C286" t="s">
        <v>30</v>
      </c>
      <c r="D286" t="s">
        <v>38</v>
      </c>
      <c r="E286" t="s">
        <v>14</v>
      </c>
      <c r="F286">
        <v>36</v>
      </c>
      <c r="G286">
        <v>5637</v>
      </c>
      <c r="H286">
        <v>2</v>
      </c>
      <c r="I286">
        <v>5</v>
      </c>
      <c r="J286" t="s">
        <v>15</v>
      </c>
      <c r="K286" t="s">
        <v>16</v>
      </c>
      <c r="L286" t="s">
        <v>34</v>
      </c>
    </row>
    <row r="287" spans="1:12" x14ac:dyDescent="0.2">
      <c r="A287">
        <v>286</v>
      </c>
      <c r="B287" s="1">
        <v>42440</v>
      </c>
      <c r="C287" t="s">
        <v>30</v>
      </c>
      <c r="D287" t="s">
        <v>31</v>
      </c>
      <c r="E287" t="s">
        <v>14</v>
      </c>
      <c r="F287">
        <v>23</v>
      </c>
      <c r="G287">
        <v>14807</v>
      </c>
      <c r="H287">
        <v>3</v>
      </c>
      <c r="I287">
        <v>5</v>
      </c>
      <c r="J287" t="s">
        <v>20</v>
      </c>
      <c r="K287" t="s">
        <v>27</v>
      </c>
      <c r="L287" t="s">
        <v>17</v>
      </c>
    </row>
    <row r="288" spans="1:12" x14ac:dyDescent="0.2">
      <c r="A288">
        <v>287</v>
      </c>
      <c r="B288" s="1">
        <v>44687</v>
      </c>
      <c r="C288" t="s">
        <v>28</v>
      </c>
      <c r="D288" t="s">
        <v>29</v>
      </c>
      <c r="E288" t="s">
        <v>24</v>
      </c>
      <c r="F288">
        <v>30</v>
      </c>
      <c r="G288">
        <v>16045</v>
      </c>
      <c r="H288">
        <v>5</v>
      </c>
      <c r="I288">
        <v>5</v>
      </c>
      <c r="J288" t="s">
        <v>20</v>
      </c>
      <c r="K288" t="s">
        <v>32</v>
      </c>
      <c r="L288" t="s">
        <v>17</v>
      </c>
    </row>
    <row r="289" spans="1:12" x14ac:dyDescent="0.2">
      <c r="A289">
        <v>288</v>
      </c>
      <c r="B289" s="1">
        <v>42257</v>
      </c>
      <c r="C289" t="s">
        <v>12</v>
      </c>
      <c r="D289" t="s">
        <v>13</v>
      </c>
      <c r="E289" t="s">
        <v>14</v>
      </c>
      <c r="F289">
        <v>47</v>
      </c>
      <c r="G289">
        <v>19304</v>
      </c>
      <c r="H289">
        <v>6</v>
      </c>
      <c r="I289">
        <v>4</v>
      </c>
      <c r="J289" t="s">
        <v>20</v>
      </c>
      <c r="K289" t="s">
        <v>32</v>
      </c>
      <c r="L289" t="s">
        <v>25</v>
      </c>
    </row>
    <row r="290" spans="1:12" x14ac:dyDescent="0.2">
      <c r="A290">
        <v>289</v>
      </c>
      <c r="B290" s="1">
        <v>44052</v>
      </c>
      <c r="C290" t="s">
        <v>28</v>
      </c>
      <c r="D290" t="s">
        <v>29</v>
      </c>
      <c r="E290" t="s">
        <v>14</v>
      </c>
      <c r="F290">
        <v>56</v>
      </c>
      <c r="G290">
        <v>8084</v>
      </c>
      <c r="H290">
        <v>4</v>
      </c>
      <c r="I290">
        <v>2</v>
      </c>
      <c r="J290" t="s">
        <v>15</v>
      </c>
      <c r="K290" t="s">
        <v>27</v>
      </c>
      <c r="L290" t="s">
        <v>34</v>
      </c>
    </row>
    <row r="291" spans="1:12" x14ac:dyDescent="0.2">
      <c r="A291">
        <v>290</v>
      </c>
      <c r="B291" s="1">
        <v>43644</v>
      </c>
      <c r="C291" t="s">
        <v>36</v>
      </c>
      <c r="D291" t="s">
        <v>42</v>
      </c>
      <c r="E291" t="s">
        <v>14</v>
      </c>
      <c r="F291">
        <v>34</v>
      </c>
      <c r="G291">
        <v>6195</v>
      </c>
      <c r="H291">
        <v>2</v>
      </c>
      <c r="I291">
        <v>4</v>
      </c>
      <c r="J291" t="s">
        <v>15</v>
      </c>
      <c r="K291" t="s">
        <v>16</v>
      </c>
      <c r="L291" t="s">
        <v>21</v>
      </c>
    </row>
    <row r="292" spans="1:12" x14ac:dyDescent="0.2">
      <c r="A292">
        <v>291</v>
      </c>
      <c r="B292" s="1">
        <v>40914</v>
      </c>
      <c r="C292" t="s">
        <v>36</v>
      </c>
      <c r="D292" t="s">
        <v>42</v>
      </c>
      <c r="E292" t="s">
        <v>14</v>
      </c>
      <c r="F292">
        <v>45</v>
      </c>
      <c r="G292">
        <v>5798</v>
      </c>
      <c r="H292">
        <v>6</v>
      </c>
      <c r="I292">
        <v>1</v>
      </c>
      <c r="J292" t="s">
        <v>20</v>
      </c>
      <c r="K292" t="s">
        <v>32</v>
      </c>
      <c r="L292" t="s">
        <v>17</v>
      </c>
    </row>
    <row r="293" spans="1:12" x14ac:dyDescent="0.2">
      <c r="A293">
        <v>292</v>
      </c>
      <c r="B293" s="1">
        <v>41984</v>
      </c>
      <c r="C293" t="s">
        <v>28</v>
      </c>
      <c r="D293" t="s">
        <v>29</v>
      </c>
      <c r="E293" t="s">
        <v>24</v>
      </c>
      <c r="F293">
        <v>41</v>
      </c>
      <c r="G293">
        <v>13111</v>
      </c>
      <c r="H293">
        <v>5</v>
      </c>
      <c r="I293">
        <v>1</v>
      </c>
      <c r="J293" t="s">
        <v>15</v>
      </c>
      <c r="K293" t="s">
        <v>32</v>
      </c>
      <c r="L293" t="s">
        <v>17</v>
      </c>
    </row>
    <row r="294" spans="1:12" x14ac:dyDescent="0.2">
      <c r="A294">
        <v>293</v>
      </c>
      <c r="B294" s="1">
        <v>43028</v>
      </c>
      <c r="C294" t="s">
        <v>28</v>
      </c>
      <c r="D294" t="s">
        <v>29</v>
      </c>
      <c r="E294" t="s">
        <v>24</v>
      </c>
      <c r="F294">
        <v>59</v>
      </c>
      <c r="G294">
        <v>17012</v>
      </c>
      <c r="H294">
        <v>1</v>
      </c>
      <c r="I294">
        <v>5</v>
      </c>
      <c r="J294" t="s">
        <v>15</v>
      </c>
      <c r="K294" t="s">
        <v>16</v>
      </c>
      <c r="L294" t="s">
        <v>34</v>
      </c>
    </row>
    <row r="295" spans="1:12" x14ac:dyDescent="0.2">
      <c r="A295">
        <v>294</v>
      </c>
      <c r="B295" s="1">
        <v>44358</v>
      </c>
      <c r="C295" t="s">
        <v>30</v>
      </c>
      <c r="D295" t="s">
        <v>38</v>
      </c>
      <c r="E295" t="s">
        <v>14</v>
      </c>
      <c r="F295">
        <v>31</v>
      </c>
      <c r="G295">
        <v>8868</v>
      </c>
      <c r="H295">
        <v>8</v>
      </c>
      <c r="I295">
        <v>3</v>
      </c>
      <c r="J295" t="s">
        <v>20</v>
      </c>
      <c r="K295" t="s">
        <v>32</v>
      </c>
      <c r="L295" t="s">
        <v>21</v>
      </c>
    </row>
    <row r="296" spans="1:12" x14ac:dyDescent="0.2">
      <c r="A296">
        <v>295</v>
      </c>
      <c r="B296" s="1">
        <v>41773</v>
      </c>
      <c r="C296" t="s">
        <v>36</v>
      </c>
      <c r="D296" t="s">
        <v>40</v>
      </c>
      <c r="E296" t="s">
        <v>24</v>
      </c>
      <c r="F296">
        <v>59</v>
      </c>
      <c r="G296">
        <v>5060</v>
      </c>
      <c r="H296">
        <v>5</v>
      </c>
      <c r="I296">
        <v>2</v>
      </c>
      <c r="J296" t="s">
        <v>15</v>
      </c>
      <c r="K296" t="s">
        <v>16</v>
      </c>
      <c r="L296" t="s">
        <v>25</v>
      </c>
    </row>
    <row r="297" spans="1:12" x14ac:dyDescent="0.2">
      <c r="A297">
        <v>296</v>
      </c>
      <c r="B297" s="1">
        <v>41211</v>
      </c>
      <c r="C297" t="s">
        <v>36</v>
      </c>
      <c r="D297" t="s">
        <v>42</v>
      </c>
      <c r="E297" t="s">
        <v>24</v>
      </c>
      <c r="F297">
        <v>53</v>
      </c>
      <c r="G297">
        <v>18713</v>
      </c>
      <c r="H297">
        <v>4</v>
      </c>
      <c r="I297">
        <v>4</v>
      </c>
      <c r="J297" t="s">
        <v>15</v>
      </c>
      <c r="K297" t="s">
        <v>27</v>
      </c>
      <c r="L297" t="s">
        <v>25</v>
      </c>
    </row>
    <row r="298" spans="1:12" x14ac:dyDescent="0.2">
      <c r="A298">
        <v>297</v>
      </c>
      <c r="B298" s="1">
        <v>44291</v>
      </c>
      <c r="C298" t="s">
        <v>36</v>
      </c>
      <c r="D298" t="s">
        <v>40</v>
      </c>
      <c r="E298" t="s">
        <v>24</v>
      </c>
      <c r="F298">
        <v>33</v>
      </c>
      <c r="G298">
        <v>18551</v>
      </c>
      <c r="H298">
        <v>10</v>
      </c>
      <c r="I298">
        <v>4</v>
      </c>
      <c r="J298" t="s">
        <v>15</v>
      </c>
      <c r="K298" t="s">
        <v>16</v>
      </c>
      <c r="L298" t="s">
        <v>17</v>
      </c>
    </row>
    <row r="299" spans="1:12" x14ac:dyDescent="0.2">
      <c r="A299">
        <v>298</v>
      </c>
      <c r="B299" s="1">
        <v>43311</v>
      </c>
      <c r="C299" t="s">
        <v>36</v>
      </c>
      <c r="D299" t="s">
        <v>42</v>
      </c>
      <c r="E299" t="s">
        <v>24</v>
      </c>
      <c r="F299">
        <v>60</v>
      </c>
      <c r="G299">
        <v>12963</v>
      </c>
      <c r="H299">
        <v>10</v>
      </c>
      <c r="I299">
        <v>5</v>
      </c>
      <c r="J299" t="s">
        <v>15</v>
      </c>
      <c r="K299" t="s">
        <v>27</v>
      </c>
      <c r="L299" t="s">
        <v>25</v>
      </c>
    </row>
    <row r="300" spans="1:12" x14ac:dyDescent="0.2">
      <c r="A300">
        <v>299</v>
      </c>
      <c r="B300" s="1">
        <v>44981</v>
      </c>
      <c r="C300" t="s">
        <v>28</v>
      </c>
      <c r="D300" t="s">
        <v>33</v>
      </c>
      <c r="E300" t="s">
        <v>24</v>
      </c>
      <c r="F300">
        <v>33</v>
      </c>
      <c r="G300">
        <v>7785</v>
      </c>
      <c r="H300">
        <v>5</v>
      </c>
      <c r="I300">
        <v>1</v>
      </c>
      <c r="J300" t="s">
        <v>15</v>
      </c>
      <c r="K300" t="s">
        <v>32</v>
      </c>
      <c r="L300" t="s">
        <v>25</v>
      </c>
    </row>
    <row r="301" spans="1:12" x14ac:dyDescent="0.2">
      <c r="A301">
        <v>300</v>
      </c>
      <c r="B301" s="1">
        <v>44541</v>
      </c>
      <c r="C301" t="s">
        <v>30</v>
      </c>
      <c r="D301" t="s">
        <v>38</v>
      </c>
      <c r="E301" t="s">
        <v>24</v>
      </c>
      <c r="F301">
        <v>42</v>
      </c>
      <c r="G301">
        <v>15916</v>
      </c>
      <c r="H301">
        <v>3</v>
      </c>
      <c r="I301">
        <v>2</v>
      </c>
      <c r="J301" t="s">
        <v>15</v>
      </c>
      <c r="K301" t="s">
        <v>16</v>
      </c>
      <c r="L301" t="s">
        <v>25</v>
      </c>
    </row>
    <row r="302" spans="1:12" x14ac:dyDescent="0.2">
      <c r="A302">
        <v>301</v>
      </c>
      <c r="B302" s="1">
        <v>40496</v>
      </c>
      <c r="C302" t="s">
        <v>30</v>
      </c>
      <c r="D302" t="s">
        <v>31</v>
      </c>
      <c r="E302" t="s">
        <v>24</v>
      </c>
      <c r="F302">
        <v>60</v>
      </c>
      <c r="G302">
        <v>10156</v>
      </c>
      <c r="H302">
        <v>3</v>
      </c>
      <c r="I302">
        <v>2</v>
      </c>
      <c r="J302" t="s">
        <v>15</v>
      </c>
      <c r="K302" t="s">
        <v>16</v>
      </c>
      <c r="L302" t="s">
        <v>34</v>
      </c>
    </row>
    <row r="303" spans="1:12" x14ac:dyDescent="0.2">
      <c r="A303">
        <v>302</v>
      </c>
      <c r="B303" s="1">
        <v>41931</v>
      </c>
      <c r="C303" t="s">
        <v>12</v>
      </c>
      <c r="D303" t="s">
        <v>41</v>
      </c>
      <c r="E303" t="s">
        <v>24</v>
      </c>
      <c r="F303">
        <v>43</v>
      </c>
      <c r="G303">
        <v>19442</v>
      </c>
      <c r="H303">
        <v>12</v>
      </c>
      <c r="I303">
        <v>5</v>
      </c>
      <c r="J303" t="s">
        <v>20</v>
      </c>
      <c r="K303" t="s">
        <v>27</v>
      </c>
      <c r="L303" t="s">
        <v>21</v>
      </c>
    </row>
    <row r="304" spans="1:12" x14ac:dyDescent="0.2">
      <c r="A304">
        <v>303</v>
      </c>
      <c r="B304" s="1">
        <v>43623</v>
      </c>
      <c r="C304" t="s">
        <v>18</v>
      </c>
      <c r="D304" t="s">
        <v>19</v>
      </c>
      <c r="E304" t="s">
        <v>14</v>
      </c>
      <c r="F304">
        <v>35</v>
      </c>
      <c r="G304">
        <v>15846</v>
      </c>
      <c r="H304">
        <v>6</v>
      </c>
      <c r="I304">
        <v>4</v>
      </c>
      <c r="J304" t="s">
        <v>15</v>
      </c>
      <c r="K304" t="s">
        <v>16</v>
      </c>
      <c r="L304" t="s">
        <v>17</v>
      </c>
    </row>
    <row r="305" spans="1:12" x14ac:dyDescent="0.2">
      <c r="A305">
        <v>304</v>
      </c>
      <c r="B305" s="1">
        <v>43539</v>
      </c>
      <c r="C305" t="s">
        <v>22</v>
      </c>
      <c r="D305" t="s">
        <v>35</v>
      </c>
      <c r="E305" t="s">
        <v>24</v>
      </c>
      <c r="F305">
        <v>31</v>
      </c>
      <c r="G305">
        <v>9182</v>
      </c>
      <c r="H305">
        <v>2</v>
      </c>
      <c r="I305">
        <v>4</v>
      </c>
      <c r="J305" t="s">
        <v>20</v>
      </c>
      <c r="K305" t="s">
        <v>27</v>
      </c>
      <c r="L305" t="s">
        <v>34</v>
      </c>
    </row>
    <row r="306" spans="1:12" x14ac:dyDescent="0.2">
      <c r="A306">
        <v>305</v>
      </c>
      <c r="B306" s="1">
        <v>44036</v>
      </c>
      <c r="C306" t="s">
        <v>36</v>
      </c>
      <c r="D306" t="s">
        <v>37</v>
      </c>
      <c r="E306" t="s">
        <v>14</v>
      </c>
      <c r="F306">
        <v>59</v>
      </c>
      <c r="G306">
        <v>9913</v>
      </c>
      <c r="H306">
        <v>14</v>
      </c>
      <c r="I306">
        <v>4</v>
      </c>
      <c r="J306" t="s">
        <v>20</v>
      </c>
      <c r="K306" t="s">
        <v>27</v>
      </c>
      <c r="L306" t="s">
        <v>25</v>
      </c>
    </row>
    <row r="307" spans="1:12" x14ac:dyDescent="0.2">
      <c r="A307">
        <v>306</v>
      </c>
      <c r="B307" s="1">
        <v>44110</v>
      </c>
      <c r="C307" t="s">
        <v>22</v>
      </c>
      <c r="D307" t="s">
        <v>35</v>
      </c>
      <c r="E307" t="s">
        <v>24</v>
      </c>
      <c r="F307">
        <v>23</v>
      </c>
      <c r="G307">
        <v>9673</v>
      </c>
      <c r="H307">
        <v>7</v>
      </c>
      <c r="I307">
        <v>5</v>
      </c>
      <c r="J307" t="s">
        <v>15</v>
      </c>
      <c r="K307" t="s">
        <v>32</v>
      </c>
      <c r="L307" t="s">
        <v>25</v>
      </c>
    </row>
    <row r="308" spans="1:12" x14ac:dyDescent="0.2">
      <c r="A308">
        <v>307</v>
      </c>
      <c r="B308" s="1">
        <v>44723</v>
      </c>
      <c r="C308" t="s">
        <v>22</v>
      </c>
      <c r="D308" t="s">
        <v>35</v>
      </c>
      <c r="E308" t="s">
        <v>24</v>
      </c>
      <c r="F308">
        <v>43</v>
      </c>
      <c r="G308">
        <v>17071</v>
      </c>
      <c r="H308">
        <v>3</v>
      </c>
      <c r="I308">
        <v>4</v>
      </c>
      <c r="J308" t="s">
        <v>15</v>
      </c>
      <c r="K308" t="s">
        <v>27</v>
      </c>
      <c r="L308" t="s">
        <v>25</v>
      </c>
    </row>
    <row r="309" spans="1:12" x14ac:dyDescent="0.2">
      <c r="A309">
        <v>308</v>
      </c>
      <c r="B309" s="1">
        <v>43256</v>
      </c>
      <c r="C309" t="s">
        <v>18</v>
      </c>
      <c r="D309" t="s">
        <v>19</v>
      </c>
      <c r="E309" t="s">
        <v>24</v>
      </c>
      <c r="F309">
        <v>22</v>
      </c>
      <c r="G309">
        <v>5269</v>
      </c>
      <c r="H309">
        <v>2</v>
      </c>
      <c r="I309">
        <v>4</v>
      </c>
      <c r="J309" t="s">
        <v>15</v>
      </c>
      <c r="K309" t="s">
        <v>32</v>
      </c>
      <c r="L309" t="s">
        <v>21</v>
      </c>
    </row>
    <row r="310" spans="1:12" x14ac:dyDescent="0.2">
      <c r="A310">
        <v>309</v>
      </c>
      <c r="B310" s="1">
        <v>45054</v>
      </c>
      <c r="C310" t="s">
        <v>18</v>
      </c>
      <c r="D310" t="s">
        <v>19</v>
      </c>
      <c r="E310" t="s">
        <v>24</v>
      </c>
      <c r="F310">
        <v>59</v>
      </c>
      <c r="G310">
        <v>11547</v>
      </c>
      <c r="H310">
        <v>8</v>
      </c>
      <c r="I310">
        <v>3</v>
      </c>
      <c r="J310" t="s">
        <v>15</v>
      </c>
      <c r="K310" t="s">
        <v>32</v>
      </c>
      <c r="L310" t="s">
        <v>21</v>
      </c>
    </row>
    <row r="311" spans="1:12" x14ac:dyDescent="0.2">
      <c r="A311">
        <v>310</v>
      </c>
      <c r="B311" s="1">
        <v>40344</v>
      </c>
      <c r="C311" t="s">
        <v>12</v>
      </c>
      <c r="D311" t="s">
        <v>41</v>
      </c>
      <c r="E311" t="s">
        <v>14</v>
      </c>
      <c r="F311">
        <v>55</v>
      </c>
      <c r="G311">
        <v>13644</v>
      </c>
      <c r="H311">
        <v>3</v>
      </c>
      <c r="I311">
        <v>3</v>
      </c>
      <c r="J311" t="s">
        <v>15</v>
      </c>
      <c r="K311" t="s">
        <v>27</v>
      </c>
      <c r="L311" t="s">
        <v>25</v>
      </c>
    </row>
    <row r="312" spans="1:12" x14ac:dyDescent="0.2">
      <c r="A312">
        <v>311</v>
      </c>
      <c r="B312" s="1">
        <v>42374</v>
      </c>
      <c r="C312" t="s">
        <v>22</v>
      </c>
      <c r="D312" t="s">
        <v>23</v>
      </c>
      <c r="E312" t="s">
        <v>24</v>
      </c>
      <c r="F312">
        <v>60</v>
      </c>
      <c r="G312">
        <v>13291</v>
      </c>
      <c r="H312">
        <v>6</v>
      </c>
      <c r="I312">
        <v>1</v>
      </c>
      <c r="J312" t="s">
        <v>20</v>
      </c>
      <c r="K312" t="s">
        <v>16</v>
      </c>
      <c r="L312" t="s">
        <v>21</v>
      </c>
    </row>
    <row r="313" spans="1:12" x14ac:dyDescent="0.2">
      <c r="A313">
        <v>312</v>
      </c>
      <c r="B313" s="1">
        <v>43026</v>
      </c>
      <c r="C313" t="s">
        <v>30</v>
      </c>
      <c r="D313" t="s">
        <v>38</v>
      </c>
      <c r="E313" t="s">
        <v>14</v>
      </c>
      <c r="F313">
        <v>40</v>
      </c>
      <c r="G313">
        <v>9675</v>
      </c>
      <c r="H313">
        <v>4</v>
      </c>
      <c r="I313">
        <v>5</v>
      </c>
      <c r="J313" t="s">
        <v>15</v>
      </c>
      <c r="K313" t="s">
        <v>27</v>
      </c>
      <c r="L313" t="s">
        <v>25</v>
      </c>
    </row>
    <row r="314" spans="1:12" x14ac:dyDescent="0.2">
      <c r="A314">
        <v>313</v>
      </c>
      <c r="B314" s="1">
        <v>40195</v>
      </c>
      <c r="C314" t="s">
        <v>28</v>
      </c>
      <c r="D314" t="s">
        <v>29</v>
      </c>
      <c r="E314" t="s">
        <v>14</v>
      </c>
      <c r="F314">
        <v>51</v>
      </c>
      <c r="G314">
        <v>10857</v>
      </c>
      <c r="H314">
        <v>13</v>
      </c>
      <c r="I314">
        <v>4</v>
      </c>
      <c r="J314" t="s">
        <v>15</v>
      </c>
      <c r="K314" t="s">
        <v>16</v>
      </c>
      <c r="L314" t="s">
        <v>21</v>
      </c>
    </row>
    <row r="315" spans="1:12" x14ac:dyDescent="0.2">
      <c r="A315">
        <v>314</v>
      </c>
      <c r="B315" s="1">
        <v>41906</v>
      </c>
      <c r="C315" t="s">
        <v>12</v>
      </c>
      <c r="D315" t="s">
        <v>13</v>
      </c>
      <c r="E315" t="s">
        <v>24</v>
      </c>
      <c r="F315">
        <v>24</v>
      </c>
      <c r="G315">
        <v>16070</v>
      </c>
      <c r="H315">
        <v>13</v>
      </c>
      <c r="I315">
        <v>4</v>
      </c>
      <c r="J315" t="s">
        <v>20</v>
      </c>
      <c r="K315" t="s">
        <v>32</v>
      </c>
      <c r="L315" t="s">
        <v>17</v>
      </c>
    </row>
    <row r="316" spans="1:12" x14ac:dyDescent="0.2">
      <c r="A316">
        <v>315</v>
      </c>
      <c r="B316" s="1">
        <v>45050</v>
      </c>
      <c r="C316" t="s">
        <v>18</v>
      </c>
      <c r="D316" t="s">
        <v>19</v>
      </c>
      <c r="E316" t="s">
        <v>14</v>
      </c>
      <c r="F316">
        <v>49</v>
      </c>
      <c r="G316">
        <v>17447</v>
      </c>
      <c r="H316">
        <v>12</v>
      </c>
      <c r="I316">
        <v>4</v>
      </c>
      <c r="J316" t="s">
        <v>20</v>
      </c>
      <c r="K316" t="s">
        <v>16</v>
      </c>
      <c r="L316" t="s">
        <v>21</v>
      </c>
    </row>
    <row r="317" spans="1:12" x14ac:dyDescent="0.2">
      <c r="A317">
        <v>316</v>
      </c>
      <c r="B317" s="1">
        <v>42021</v>
      </c>
      <c r="C317" t="s">
        <v>18</v>
      </c>
      <c r="D317" t="s">
        <v>26</v>
      </c>
      <c r="E317" t="s">
        <v>14</v>
      </c>
      <c r="F317">
        <v>44</v>
      </c>
      <c r="G317">
        <v>11799</v>
      </c>
      <c r="H317">
        <v>2</v>
      </c>
      <c r="I317">
        <v>1</v>
      </c>
      <c r="J317" t="s">
        <v>15</v>
      </c>
      <c r="K317" t="s">
        <v>16</v>
      </c>
      <c r="L317" t="s">
        <v>25</v>
      </c>
    </row>
    <row r="318" spans="1:12" x14ac:dyDescent="0.2">
      <c r="A318">
        <v>317</v>
      </c>
      <c r="B318" s="1">
        <v>43909</v>
      </c>
      <c r="C318" t="s">
        <v>12</v>
      </c>
      <c r="D318" t="s">
        <v>41</v>
      </c>
      <c r="E318" t="s">
        <v>14</v>
      </c>
      <c r="F318">
        <v>27</v>
      </c>
      <c r="G318">
        <v>12551</v>
      </c>
      <c r="H318">
        <v>7</v>
      </c>
      <c r="I318">
        <v>3</v>
      </c>
      <c r="J318" t="s">
        <v>20</v>
      </c>
      <c r="K318" t="s">
        <v>32</v>
      </c>
      <c r="L318" t="s">
        <v>34</v>
      </c>
    </row>
    <row r="319" spans="1:12" x14ac:dyDescent="0.2">
      <c r="A319">
        <v>318</v>
      </c>
      <c r="B319" s="1">
        <v>44939</v>
      </c>
      <c r="C319" t="s">
        <v>28</v>
      </c>
      <c r="D319" t="s">
        <v>33</v>
      </c>
      <c r="E319" t="s">
        <v>14</v>
      </c>
      <c r="F319">
        <v>57</v>
      </c>
      <c r="G319">
        <v>14798</v>
      </c>
      <c r="H319">
        <v>1</v>
      </c>
      <c r="I319">
        <v>4</v>
      </c>
      <c r="J319" t="s">
        <v>20</v>
      </c>
      <c r="K319" t="s">
        <v>32</v>
      </c>
      <c r="L319" t="s">
        <v>21</v>
      </c>
    </row>
    <row r="320" spans="1:12" x14ac:dyDescent="0.2">
      <c r="A320">
        <v>319</v>
      </c>
      <c r="B320" s="1">
        <v>41709</v>
      </c>
      <c r="C320" t="s">
        <v>12</v>
      </c>
      <c r="D320" t="s">
        <v>13</v>
      </c>
      <c r="E320" t="s">
        <v>24</v>
      </c>
      <c r="F320">
        <v>58</v>
      </c>
      <c r="G320">
        <v>14877</v>
      </c>
      <c r="H320">
        <v>8</v>
      </c>
      <c r="I320">
        <v>2</v>
      </c>
      <c r="J320" t="s">
        <v>20</v>
      </c>
      <c r="K320" t="s">
        <v>16</v>
      </c>
      <c r="L320" t="s">
        <v>25</v>
      </c>
    </row>
    <row r="321" spans="1:12" x14ac:dyDescent="0.2">
      <c r="A321">
        <v>320</v>
      </c>
      <c r="B321" s="1">
        <v>40475</v>
      </c>
      <c r="C321" t="s">
        <v>36</v>
      </c>
      <c r="D321" t="s">
        <v>40</v>
      </c>
      <c r="E321" t="s">
        <v>24</v>
      </c>
      <c r="F321">
        <v>42</v>
      </c>
      <c r="G321">
        <v>17544</v>
      </c>
      <c r="H321">
        <v>12</v>
      </c>
      <c r="I321">
        <v>1</v>
      </c>
      <c r="J321" t="s">
        <v>20</v>
      </c>
      <c r="K321" t="s">
        <v>27</v>
      </c>
      <c r="L321" t="s">
        <v>34</v>
      </c>
    </row>
    <row r="322" spans="1:12" x14ac:dyDescent="0.2">
      <c r="A322">
        <v>321</v>
      </c>
      <c r="B322" s="1">
        <v>44204</v>
      </c>
      <c r="C322" t="s">
        <v>30</v>
      </c>
      <c r="D322" t="s">
        <v>31</v>
      </c>
      <c r="E322" t="s">
        <v>24</v>
      </c>
      <c r="F322">
        <v>39</v>
      </c>
      <c r="G322">
        <v>8963</v>
      </c>
      <c r="H322">
        <v>3</v>
      </c>
      <c r="I322">
        <v>2</v>
      </c>
      <c r="J322" t="s">
        <v>15</v>
      </c>
      <c r="K322" t="s">
        <v>32</v>
      </c>
      <c r="L322" t="s">
        <v>25</v>
      </c>
    </row>
    <row r="323" spans="1:12" x14ac:dyDescent="0.2">
      <c r="A323">
        <v>322</v>
      </c>
      <c r="B323" s="1">
        <v>44965</v>
      </c>
      <c r="C323" t="s">
        <v>18</v>
      </c>
      <c r="D323" t="s">
        <v>19</v>
      </c>
      <c r="E323" t="s">
        <v>24</v>
      </c>
      <c r="F323">
        <v>59</v>
      </c>
      <c r="G323">
        <v>10748</v>
      </c>
      <c r="H323">
        <v>1</v>
      </c>
      <c r="I323">
        <v>4</v>
      </c>
      <c r="J323" t="s">
        <v>20</v>
      </c>
      <c r="K323" t="s">
        <v>32</v>
      </c>
      <c r="L323" t="s">
        <v>25</v>
      </c>
    </row>
    <row r="324" spans="1:12" x14ac:dyDescent="0.2">
      <c r="A324">
        <v>323</v>
      </c>
      <c r="B324" s="1">
        <v>43501</v>
      </c>
      <c r="C324" t="s">
        <v>36</v>
      </c>
      <c r="D324" t="s">
        <v>40</v>
      </c>
      <c r="E324" t="s">
        <v>24</v>
      </c>
      <c r="F324">
        <v>51</v>
      </c>
      <c r="G324">
        <v>17522</v>
      </c>
      <c r="H324">
        <v>12</v>
      </c>
      <c r="I324">
        <v>2</v>
      </c>
      <c r="J324" t="s">
        <v>15</v>
      </c>
      <c r="K324" t="s">
        <v>27</v>
      </c>
      <c r="L324" t="s">
        <v>25</v>
      </c>
    </row>
    <row r="325" spans="1:12" x14ac:dyDescent="0.2">
      <c r="A325">
        <v>324</v>
      </c>
      <c r="B325" s="1">
        <v>42136</v>
      </c>
      <c r="C325" t="s">
        <v>28</v>
      </c>
      <c r="D325" t="s">
        <v>29</v>
      </c>
      <c r="E325" t="s">
        <v>24</v>
      </c>
      <c r="F325">
        <v>46</v>
      </c>
      <c r="G325">
        <v>15458</v>
      </c>
      <c r="H325">
        <v>5</v>
      </c>
      <c r="I325">
        <v>2</v>
      </c>
      <c r="J325" t="s">
        <v>20</v>
      </c>
      <c r="K325" t="s">
        <v>27</v>
      </c>
      <c r="L325" t="s">
        <v>21</v>
      </c>
    </row>
    <row r="326" spans="1:12" x14ac:dyDescent="0.2">
      <c r="A326">
        <v>325</v>
      </c>
      <c r="B326" s="1">
        <v>43229</v>
      </c>
      <c r="C326" t="s">
        <v>12</v>
      </c>
      <c r="D326" t="s">
        <v>41</v>
      </c>
      <c r="E326" t="s">
        <v>24</v>
      </c>
      <c r="F326">
        <v>28</v>
      </c>
      <c r="G326">
        <v>17050</v>
      </c>
      <c r="H326">
        <v>7</v>
      </c>
      <c r="I326">
        <v>3</v>
      </c>
      <c r="J326" t="s">
        <v>20</v>
      </c>
      <c r="K326" t="s">
        <v>16</v>
      </c>
      <c r="L326" t="s">
        <v>21</v>
      </c>
    </row>
    <row r="327" spans="1:12" x14ac:dyDescent="0.2">
      <c r="A327">
        <v>326</v>
      </c>
      <c r="B327" s="1">
        <v>41648</v>
      </c>
      <c r="C327" t="s">
        <v>28</v>
      </c>
      <c r="D327" t="s">
        <v>33</v>
      </c>
      <c r="E327" t="s">
        <v>24</v>
      </c>
      <c r="F327">
        <v>49</v>
      </c>
      <c r="G327">
        <v>7047</v>
      </c>
      <c r="H327">
        <v>6</v>
      </c>
      <c r="I327">
        <v>5</v>
      </c>
      <c r="J327" t="s">
        <v>15</v>
      </c>
      <c r="K327" t="s">
        <v>27</v>
      </c>
      <c r="L327" t="s">
        <v>17</v>
      </c>
    </row>
    <row r="328" spans="1:12" x14ac:dyDescent="0.2">
      <c r="A328">
        <v>327</v>
      </c>
      <c r="B328" s="1">
        <v>42383</v>
      </c>
      <c r="C328" t="s">
        <v>12</v>
      </c>
      <c r="D328" t="s">
        <v>41</v>
      </c>
      <c r="E328" t="s">
        <v>24</v>
      </c>
      <c r="F328">
        <v>58</v>
      </c>
      <c r="G328">
        <v>5989</v>
      </c>
      <c r="H328">
        <v>1</v>
      </c>
      <c r="I328">
        <v>4</v>
      </c>
      <c r="J328" t="s">
        <v>15</v>
      </c>
      <c r="K328" t="s">
        <v>16</v>
      </c>
      <c r="L328" t="s">
        <v>25</v>
      </c>
    </row>
    <row r="329" spans="1:12" x14ac:dyDescent="0.2">
      <c r="A329">
        <v>328</v>
      </c>
      <c r="B329" s="1">
        <v>41686</v>
      </c>
      <c r="C329" t="s">
        <v>30</v>
      </c>
      <c r="D329" t="s">
        <v>31</v>
      </c>
      <c r="E329" t="s">
        <v>14</v>
      </c>
      <c r="F329">
        <v>59</v>
      </c>
      <c r="G329">
        <v>12539</v>
      </c>
      <c r="H329">
        <v>8</v>
      </c>
      <c r="I329">
        <v>4</v>
      </c>
      <c r="J329" t="s">
        <v>15</v>
      </c>
      <c r="K329" t="s">
        <v>32</v>
      </c>
      <c r="L329" t="s">
        <v>17</v>
      </c>
    </row>
    <row r="330" spans="1:12" x14ac:dyDescent="0.2">
      <c r="A330">
        <v>329</v>
      </c>
      <c r="B330" s="1">
        <v>44975</v>
      </c>
      <c r="C330" t="s">
        <v>18</v>
      </c>
      <c r="D330" t="s">
        <v>19</v>
      </c>
      <c r="E330" t="s">
        <v>14</v>
      </c>
      <c r="F330">
        <v>23</v>
      </c>
      <c r="G330">
        <v>7319</v>
      </c>
      <c r="H330">
        <v>13</v>
      </c>
      <c r="I330">
        <v>4</v>
      </c>
      <c r="J330" t="s">
        <v>15</v>
      </c>
      <c r="K330" t="s">
        <v>16</v>
      </c>
      <c r="L330" t="s">
        <v>25</v>
      </c>
    </row>
    <row r="331" spans="1:12" x14ac:dyDescent="0.2">
      <c r="A331">
        <v>330</v>
      </c>
      <c r="B331" s="1">
        <v>44205</v>
      </c>
      <c r="C331" t="s">
        <v>18</v>
      </c>
      <c r="D331" t="s">
        <v>19</v>
      </c>
      <c r="E331" t="s">
        <v>14</v>
      </c>
      <c r="F331">
        <v>27</v>
      </c>
      <c r="G331">
        <v>17999</v>
      </c>
      <c r="H331">
        <v>13</v>
      </c>
      <c r="I331">
        <v>1</v>
      </c>
      <c r="J331" t="s">
        <v>15</v>
      </c>
      <c r="K331" t="s">
        <v>27</v>
      </c>
      <c r="L331" t="s">
        <v>25</v>
      </c>
    </row>
    <row r="332" spans="1:12" x14ac:dyDescent="0.2">
      <c r="A332">
        <v>331</v>
      </c>
      <c r="B332" s="1">
        <v>41952</v>
      </c>
      <c r="C332" t="s">
        <v>28</v>
      </c>
      <c r="D332" t="s">
        <v>33</v>
      </c>
      <c r="E332" t="s">
        <v>24</v>
      </c>
      <c r="F332">
        <v>40</v>
      </c>
      <c r="G332">
        <v>7374</v>
      </c>
      <c r="H332">
        <v>5</v>
      </c>
      <c r="I332">
        <v>4</v>
      </c>
      <c r="J332" t="s">
        <v>15</v>
      </c>
      <c r="K332" t="s">
        <v>16</v>
      </c>
      <c r="L332" t="s">
        <v>21</v>
      </c>
    </row>
    <row r="333" spans="1:12" x14ac:dyDescent="0.2">
      <c r="A333">
        <v>332</v>
      </c>
      <c r="B333" s="1">
        <v>41398</v>
      </c>
      <c r="C333" t="s">
        <v>22</v>
      </c>
      <c r="D333" t="s">
        <v>23</v>
      </c>
      <c r="E333" t="s">
        <v>24</v>
      </c>
      <c r="F333">
        <v>52</v>
      </c>
      <c r="G333">
        <v>12475</v>
      </c>
      <c r="H333">
        <v>7</v>
      </c>
      <c r="I333">
        <v>2</v>
      </c>
      <c r="J333" t="s">
        <v>20</v>
      </c>
      <c r="K333" t="s">
        <v>27</v>
      </c>
      <c r="L333" t="s">
        <v>25</v>
      </c>
    </row>
    <row r="334" spans="1:12" x14ac:dyDescent="0.2">
      <c r="A334">
        <v>333</v>
      </c>
      <c r="B334" s="1">
        <v>40906</v>
      </c>
      <c r="C334" t="s">
        <v>36</v>
      </c>
      <c r="D334" t="s">
        <v>37</v>
      </c>
      <c r="E334" t="s">
        <v>14</v>
      </c>
      <c r="F334">
        <v>33</v>
      </c>
      <c r="G334">
        <v>15917</v>
      </c>
      <c r="H334">
        <v>15</v>
      </c>
      <c r="I334">
        <v>5</v>
      </c>
      <c r="J334" t="s">
        <v>20</v>
      </c>
      <c r="K334" t="s">
        <v>32</v>
      </c>
      <c r="L334" t="s">
        <v>17</v>
      </c>
    </row>
    <row r="335" spans="1:12" x14ac:dyDescent="0.2">
      <c r="A335">
        <v>334</v>
      </c>
      <c r="B335" s="1">
        <v>43076</v>
      </c>
      <c r="C335" t="s">
        <v>22</v>
      </c>
      <c r="D335" t="s">
        <v>35</v>
      </c>
      <c r="E335" t="s">
        <v>24</v>
      </c>
      <c r="F335">
        <v>36</v>
      </c>
      <c r="G335">
        <v>7773</v>
      </c>
      <c r="H335">
        <v>11</v>
      </c>
      <c r="I335">
        <v>1</v>
      </c>
      <c r="J335" t="s">
        <v>20</v>
      </c>
      <c r="K335" t="s">
        <v>16</v>
      </c>
      <c r="L335" t="s">
        <v>34</v>
      </c>
    </row>
    <row r="336" spans="1:12" x14ac:dyDescent="0.2">
      <c r="A336">
        <v>335</v>
      </c>
      <c r="B336" s="1">
        <v>44494</v>
      </c>
      <c r="C336" t="s">
        <v>12</v>
      </c>
      <c r="D336" t="s">
        <v>41</v>
      </c>
      <c r="E336" t="s">
        <v>14</v>
      </c>
      <c r="F336">
        <v>55</v>
      </c>
      <c r="G336">
        <v>8671</v>
      </c>
      <c r="H336">
        <v>0</v>
      </c>
      <c r="I336">
        <v>1</v>
      </c>
      <c r="J336" t="s">
        <v>15</v>
      </c>
      <c r="K336" t="s">
        <v>27</v>
      </c>
      <c r="L336" t="s">
        <v>21</v>
      </c>
    </row>
    <row r="337" spans="1:12" x14ac:dyDescent="0.2">
      <c r="A337">
        <v>336</v>
      </c>
      <c r="B337" s="1">
        <v>42909</v>
      </c>
      <c r="C337" t="s">
        <v>18</v>
      </c>
      <c r="D337" t="s">
        <v>26</v>
      </c>
      <c r="E337" t="s">
        <v>24</v>
      </c>
      <c r="F337">
        <v>22</v>
      </c>
      <c r="G337">
        <v>18859</v>
      </c>
      <c r="H337">
        <v>9</v>
      </c>
      <c r="I337">
        <v>3</v>
      </c>
      <c r="J337" t="s">
        <v>15</v>
      </c>
      <c r="K337" t="s">
        <v>16</v>
      </c>
      <c r="L337" t="s">
        <v>34</v>
      </c>
    </row>
    <row r="338" spans="1:12" x14ac:dyDescent="0.2">
      <c r="A338">
        <v>337</v>
      </c>
      <c r="B338" s="1">
        <v>40261</v>
      </c>
      <c r="C338" t="s">
        <v>12</v>
      </c>
      <c r="D338" t="s">
        <v>13</v>
      </c>
      <c r="E338" t="s">
        <v>14</v>
      </c>
      <c r="F338">
        <v>27</v>
      </c>
      <c r="G338">
        <v>7787</v>
      </c>
      <c r="H338">
        <v>8</v>
      </c>
      <c r="I338">
        <v>2</v>
      </c>
      <c r="J338" t="s">
        <v>20</v>
      </c>
      <c r="K338" t="s">
        <v>16</v>
      </c>
      <c r="L338" t="s">
        <v>17</v>
      </c>
    </row>
    <row r="339" spans="1:12" x14ac:dyDescent="0.2">
      <c r="A339">
        <v>338</v>
      </c>
      <c r="B339" s="1">
        <v>43620</v>
      </c>
      <c r="C339" t="s">
        <v>30</v>
      </c>
      <c r="D339" t="s">
        <v>38</v>
      </c>
      <c r="E339" t="s">
        <v>14</v>
      </c>
      <c r="F339">
        <v>43</v>
      </c>
      <c r="G339">
        <v>15389</v>
      </c>
      <c r="H339">
        <v>14</v>
      </c>
      <c r="I339">
        <v>1</v>
      </c>
      <c r="J339" t="s">
        <v>20</v>
      </c>
      <c r="K339" t="s">
        <v>32</v>
      </c>
      <c r="L339" t="s">
        <v>34</v>
      </c>
    </row>
    <row r="340" spans="1:12" x14ac:dyDescent="0.2">
      <c r="A340">
        <v>339</v>
      </c>
      <c r="B340" s="1">
        <v>42521</v>
      </c>
      <c r="C340" t="s">
        <v>18</v>
      </c>
      <c r="D340" t="s">
        <v>26</v>
      </c>
      <c r="E340" t="s">
        <v>14</v>
      </c>
      <c r="F340">
        <v>38</v>
      </c>
      <c r="G340">
        <v>19094</v>
      </c>
      <c r="H340">
        <v>12</v>
      </c>
      <c r="I340">
        <v>3</v>
      </c>
      <c r="J340" t="s">
        <v>15</v>
      </c>
      <c r="K340" t="s">
        <v>32</v>
      </c>
      <c r="L340" t="s">
        <v>34</v>
      </c>
    </row>
    <row r="341" spans="1:12" x14ac:dyDescent="0.2">
      <c r="A341">
        <v>340</v>
      </c>
      <c r="B341" s="1">
        <v>43658</v>
      </c>
      <c r="C341" t="s">
        <v>30</v>
      </c>
      <c r="D341" t="s">
        <v>31</v>
      </c>
      <c r="E341" t="s">
        <v>14</v>
      </c>
      <c r="F341">
        <v>38</v>
      </c>
      <c r="G341">
        <v>15552</v>
      </c>
      <c r="H341">
        <v>3</v>
      </c>
      <c r="I341">
        <v>1</v>
      </c>
      <c r="J341" t="s">
        <v>20</v>
      </c>
      <c r="K341" t="s">
        <v>16</v>
      </c>
      <c r="L341" t="s">
        <v>21</v>
      </c>
    </row>
    <row r="342" spans="1:12" x14ac:dyDescent="0.2">
      <c r="A342">
        <v>341</v>
      </c>
      <c r="B342" s="1">
        <v>42356</v>
      </c>
      <c r="C342" t="s">
        <v>18</v>
      </c>
      <c r="D342" t="s">
        <v>19</v>
      </c>
      <c r="E342" t="s">
        <v>14</v>
      </c>
      <c r="F342">
        <v>26</v>
      </c>
      <c r="G342">
        <v>11851</v>
      </c>
      <c r="H342">
        <v>7</v>
      </c>
      <c r="I342">
        <v>1</v>
      </c>
      <c r="J342" t="s">
        <v>20</v>
      </c>
      <c r="K342" t="s">
        <v>32</v>
      </c>
      <c r="L342" t="s">
        <v>34</v>
      </c>
    </row>
    <row r="343" spans="1:12" x14ac:dyDescent="0.2">
      <c r="A343">
        <v>342</v>
      </c>
      <c r="B343" s="1">
        <v>40989</v>
      </c>
      <c r="C343" t="s">
        <v>18</v>
      </c>
      <c r="D343" t="s">
        <v>19</v>
      </c>
      <c r="E343" t="s">
        <v>14</v>
      </c>
      <c r="F343">
        <v>31</v>
      </c>
      <c r="G343">
        <v>14923</v>
      </c>
      <c r="H343">
        <v>11</v>
      </c>
      <c r="I343">
        <v>2</v>
      </c>
      <c r="J343" t="s">
        <v>20</v>
      </c>
      <c r="K343" t="s">
        <v>16</v>
      </c>
      <c r="L343" t="s">
        <v>17</v>
      </c>
    </row>
    <row r="344" spans="1:12" x14ac:dyDescent="0.2">
      <c r="A344">
        <v>343</v>
      </c>
      <c r="B344" s="1">
        <v>44735</v>
      </c>
      <c r="C344" t="s">
        <v>30</v>
      </c>
      <c r="D344" t="s">
        <v>31</v>
      </c>
      <c r="E344" t="s">
        <v>24</v>
      </c>
      <c r="F344">
        <v>60</v>
      </c>
      <c r="G344">
        <v>4932</v>
      </c>
      <c r="H344">
        <v>8</v>
      </c>
      <c r="I344">
        <v>4</v>
      </c>
      <c r="J344" t="s">
        <v>15</v>
      </c>
      <c r="K344" t="s">
        <v>16</v>
      </c>
      <c r="L344" t="s">
        <v>17</v>
      </c>
    </row>
    <row r="345" spans="1:12" x14ac:dyDescent="0.2">
      <c r="A345">
        <v>344</v>
      </c>
      <c r="B345" s="1">
        <v>44236</v>
      </c>
      <c r="C345" t="s">
        <v>30</v>
      </c>
      <c r="D345" t="s">
        <v>38</v>
      </c>
      <c r="E345" t="s">
        <v>24</v>
      </c>
      <c r="F345">
        <v>59</v>
      </c>
      <c r="G345">
        <v>11961</v>
      </c>
      <c r="H345">
        <v>1</v>
      </c>
      <c r="I345">
        <v>3</v>
      </c>
      <c r="J345" t="s">
        <v>20</v>
      </c>
      <c r="K345" t="s">
        <v>32</v>
      </c>
      <c r="L345" t="s">
        <v>39</v>
      </c>
    </row>
    <row r="346" spans="1:12" x14ac:dyDescent="0.2">
      <c r="A346">
        <v>345</v>
      </c>
      <c r="B346" s="1">
        <v>41535</v>
      </c>
      <c r="C346" t="s">
        <v>18</v>
      </c>
      <c r="D346" t="s">
        <v>26</v>
      </c>
      <c r="E346" t="s">
        <v>14</v>
      </c>
      <c r="F346">
        <v>40</v>
      </c>
      <c r="G346">
        <v>8911</v>
      </c>
      <c r="H346">
        <v>6</v>
      </c>
      <c r="I346">
        <v>1</v>
      </c>
      <c r="J346" t="s">
        <v>15</v>
      </c>
      <c r="K346" t="s">
        <v>32</v>
      </c>
      <c r="L346" t="s">
        <v>25</v>
      </c>
    </row>
    <row r="347" spans="1:12" x14ac:dyDescent="0.2">
      <c r="A347">
        <v>346</v>
      </c>
      <c r="B347" s="1">
        <v>45043</v>
      </c>
      <c r="C347" t="s">
        <v>36</v>
      </c>
      <c r="D347" t="s">
        <v>40</v>
      </c>
      <c r="E347" t="s">
        <v>14</v>
      </c>
      <c r="F347">
        <v>45</v>
      </c>
      <c r="G347">
        <v>9678</v>
      </c>
      <c r="H347">
        <v>8</v>
      </c>
      <c r="I347">
        <v>1</v>
      </c>
      <c r="J347" t="s">
        <v>15</v>
      </c>
      <c r="K347" t="s">
        <v>27</v>
      </c>
      <c r="L347" t="s">
        <v>21</v>
      </c>
    </row>
    <row r="348" spans="1:12" x14ac:dyDescent="0.2">
      <c r="A348">
        <v>347</v>
      </c>
      <c r="B348" s="1">
        <v>43464</v>
      </c>
      <c r="C348" t="s">
        <v>18</v>
      </c>
      <c r="D348" t="s">
        <v>19</v>
      </c>
      <c r="E348" t="s">
        <v>14</v>
      </c>
      <c r="F348">
        <v>24</v>
      </c>
      <c r="G348">
        <v>16436</v>
      </c>
      <c r="H348">
        <v>15</v>
      </c>
      <c r="I348">
        <v>3</v>
      </c>
      <c r="J348" t="s">
        <v>15</v>
      </c>
      <c r="K348" t="s">
        <v>16</v>
      </c>
      <c r="L348" t="s">
        <v>17</v>
      </c>
    </row>
    <row r="349" spans="1:12" x14ac:dyDescent="0.2">
      <c r="A349">
        <v>348</v>
      </c>
      <c r="B349" s="1">
        <v>42092</v>
      </c>
      <c r="C349" t="s">
        <v>22</v>
      </c>
      <c r="D349" t="s">
        <v>23</v>
      </c>
      <c r="E349" t="s">
        <v>14</v>
      </c>
      <c r="F349">
        <v>23</v>
      </c>
      <c r="G349">
        <v>11451</v>
      </c>
      <c r="H349">
        <v>7</v>
      </c>
      <c r="I349">
        <v>4</v>
      </c>
      <c r="J349" t="s">
        <v>20</v>
      </c>
      <c r="K349" t="s">
        <v>32</v>
      </c>
      <c r="L349" t="s">
        <v>17</v>
      </c>
    </row>
    <row r="350" spans="1:12" x14ac:dyDescent="0.2">
      <c r="A350">
        <v>349</v>
      </c>
      <c r="B350" s="1">
        <v>44540</v>
      </c>
      <c r="C350" t="s">
        <v>12</v>
      </c>
      <c r="D350" t="s">
        <v>13</v>
      </c>
      <c r="E350" t="s">
        <v>14</v>
      </c>
      <c r="F350">
        <v>23</v>
      </c>
      <c r="G350">
        <v>16005</v>
      </c>
      <c r="H350">
        <v>14</v>
      </c>
      <c r="I350">
        <v>4</v>
      </c>
      <c r="J350" t="s">
        <v>15</v>
      </c>
      <c r="K350" t="s">
        <v>27</v>
      </c>
      <c r="L350" t="s">
        <v>39</v>
      </c>
    </row>
    <row r="351" spans="1:12" x14ac:dyDescent="0.2">
      <c r="A351">
        <v>350</v>
      </c>
      <c r="B351" s="1">
        <v>42616</v>
      </c>
      <c r="C351" t="s">
        <v>12</v>
      </c>
      <c r="D351" t="s">
        <v>41</v>
      </c>
      <c r="E351" t="s">
        <v>14</v>
      </c>
      <c r="F351">
        <v>44</v>
      </c>
      <c r="G351">
        <v>5785</v>
      </c>
      <c r="H351">
        <v>0</v>
      </c>
      <c r="I351">
        <v>3</v>
      </c>
      <c r="J351" t="s">
        <v>20</v>
      </c>
      <c r="K351" t="s">
        <v>27</v>
      </c>
      <c r="L351" t="s">
        <v>25</v>
      </c>
    </row>
    <row r="352" spans="1:12" x14ac:dyDescent="0.2">
      <c r="A352">
        <v>351</v>
      </c>
      <c r="B352" s="1">
        <v>43416</v>
      </c>
      <c r="C352" t="s">
        <v>30</v>
      </c>
      <c r="D352" t="s">
        <v>38</v>
      </c>
      <c r="E352" t="s">
        <v>24</v>
      </c>
      <c r="F352">
        <v>51</v>
      </c>
      <c r="G352">
        <v>5962</v>
      </c>
      <c r="H352">
        <v>2</v>
      </c>
      <c r="I352">
        <v>3</v>
      </c>
      <c r="J352" t="s">
        <v>20</v>
      </c>
      <c r="K352" t="s">
        <v>32</v>
      </c>
      <c r="L352" t="s">
        <v>34</v>
      </c>
    </row>
    <row r="353" spans="1:12" x14ac:dyDescent="0.2">
      <c r="A353">
        <v>352</v>
      </c>
      <c r="B353" s="1">
        <v>43549</v>
      </c>
      <c r="C353" t="s">
        <v>22</v>
      </c>
      <c r="D353" t="s">
        <v>23</v>
      </c>
      <c r="E353" t="s">
        <v>24</v>
      </c>
      <c r="F353">
        <v>55</v>
      </c>
      <c r="G353">
        <v>11268</v>
      </c>
      <c r="H353">
        <v>13</v>
      </c>
      <c r="I353">
        <v>5</v>
      </c>
      <c r="J353" t="s">
        <v>15</v>
      </c>
      <c r="K353" t="s">
        <v>16</v>
      </c>
      <c r="L353" t="s">
        <v>39</v>
      </c>
    </row>
    <row r="354" spans="1:12" x14ac:dyDescent="0.2">
      <c r="A354">
        <v>353</v>
      </c>
      <c r="B354" s="1">
        <v>42584</v>
      </c>
      <c r="C354" t="s">
        <v>28</v>
      </c>
      <c r="D354" t="s">
        <v>29</v>
      </c>
      <c r="E354" t="s">
        <v>24</v>
      </c>
      <c r="F354">
        <v>51</v>
      </c>
      <c r="G354">
        <v>6741</v>
      </c>
      <c r="H354">
        <v>7</v>
      </c>
      <c r="I354">
        <v>5</v>
      </c>
      <c r="J354" t="s">
        <v>15</v>
      </c>
      <c r="K354" t="s">
        <v>27</v>
      </c>
      <c r="L354" t="s">
        <v>17</v>
      </c>
    </row>
    <row r="355" spans="1:12" x14ac:dyDescent="0.2">
      <c r="A355">
        <v>354</v>
      </c>
      <c r="B355" s="1">
        <v>40912</v>
      </c>
      <c r="C355" t="s">
        <v>18</v>
      </c>
      <c r="D355" t="s">
        <v>26</v>
      </c>
      <c r="E355" t="s">
        <v>14</v>
      </c>
      <c r="F355">
        <v>57</v>
      </c>
      <c r="G355">
        <v>12858</v>
      </c>
      <c r="H355">
        <v>11</v>
      </c>
      <c r="I355">
        <v>2</v>
      </c>
      <c r="J355" t="s">
        <v>15</v>
      </c>
      <c r="K355" t="s">
        <v>27</v>
      </c>
      <c r="L355" t="s">
        <v>34</v>
      </c>
    </row>
    <row r="356" spans="1:12" x14ac:dyDescent="0.2">
      <c r="A356">
        <v>355</v>
      </c>
      <c r="B356" s="1">
        <v>43993</v>
      </c>
      <c r="C356" t="s">
        <v>18</v>
      </c>
      <c r="D356" t="s">
        <v>19</v>
      </c>
      <c r="E356" t="s">
        <v>24</v>
      </c>
      <c r="F356">
        <v>56</v>
      </c>
      <c r="G356">
        <v>17219</v>
      </c>
      <c r="H356">
        <v>10</v>
      </c>
      <c r="I356">
        <v>2</v>
      </c>
      <c r="J356" t="s">
        <v>20</v>
      </c>
      <c r="K356" t="s">
        <v>27</v>
      </c>
      <c r="L356" t="s">
        <v>34</v>
      </c>
    </row>
    <row r="357" spans="1:12" x14ac:dyDescent="0.2">
      <c r="A357">
        <v>356</v>
      </c>
      <c r="B357" s="1">
        <v>42707</v>
      </c>
      <c r="C357" t="s">
        <v>18</v>
      </c>
      <c r="D357" t="s">
        <v>26</v>
      </c>
      <c r="E357" t="s">
        <v>24</v>
      </c>
      <c r="F357">
        <v>43</v>
      </c>
      <c r="G357">
        <v>18288</v>
      </c>
      <c r="H357">
        <v>7</v>
      </c>
      <c r="I357">
        <v>1</v>
      </c>
      <c r="J357" t="s">
        <v>15</v>
      </c>
      <c r="K357" t="s">
        <v>27</v>
      </c>
      <c r="L357" t="s">
        <v>34</v>
      </c>
    </row>
    <row r="358" spans="1:12" x14ac:dyDescent="0.2">
      <c r="A358">
        <v>357</v>
      </c>
      <c r="B358" s="1">
        <v>42340</v>
      </c>
      <c r="C358" t="s">
        <v>28</v>
      </c>
      <c r="D358" t="s">
        <v>33</v>
      </c>
      <c r="E358" t="s">
        <v>14</v>
      </c>
      <c r="F358">
        <v>36</v>
      </c>
      <c r="G358">
        <v>12252</v>
      </c>
      <c r="H358">
        <v>4</v>
      </c>
      <c r="I358">
        <v>5</v>
      </c>
      <c r="J358" t="s">
        <v>20</v>
      </c>
      <c r="K358" t="s">
        <v>27</v>
      </c>
      <c r="L358" t="s">
        <v>25</v>
      </c>
    </row>
    <row r="359" spans="1:12" x14ac:dyDescent="0.2">
      <c r="A359">
        <v>358</v>
      </c>
      <c r="B359" s="1">
        <v>42050</v>
      </c>
      <c r="C359" t="s">
        <v>30</v>
      </c>
      <c r="D359" t="s">
        <v>38</v>
      </c>
      <c r="E359" t="s">
        <v>24</v>
      </c>
      <c r="F359">
        <v>44</v>
      </c>
      <c r="G359">
        <v>9473</v>
      </c>
      <c r="H359">
        <v>3</v>
      </c>
      <c r="I359">
        <v>2</v>
      </c>
      <c r="J359" t="s">
        <v>15</v>
      </c>
      <c r="K359" t="s">
        <v>16</v>
      </c>
      <c r="L359" t="s">
        <v>21</v>
      </c>
    </row>
    <row r="360" spans="1:12" x14ac:dyDescent="0.2">
      <c r="A360">
        <v>359</v>
      </c>
      <c r="B360" s="1">
        <v>44365</v>
      </c>
      <c r="C360" t="s">
        <v>12</v>
      </c>
      <c r="D360" t="s">
        <v>13</v>
      </c>
      <c r="E360" t="s">
        <v>14</v>
      </c>
      <c r="F360">
        <v>47</v>
      </c>
      <c r="G360">
        <v>16880</v>
      </c>
      <c r="H360">
        <v>2</v>
      </c>
      <c r="I360">
        <v>4</v>
      </c>
      <c r="J360" t="s">
        <v>20</v>
      </c>
      <c r="K360" t="s">
        <v>27</v>
      </c>
      <c r="L360" t="s">
        <v>17</v>
      </c>
    </row>
    <row r="361" spans="1:12" x14ac:dyDescent="0.2">
      <c r="A361">
        <v>360</v>
      </c>
      <c r="B361" s="1">
        <v>43294</v>
      </c>
      <c r="C361" t="s">
        <v>28</v>
      </c>
      <c r="D361" t="s">
        <v>29</v>
      </c>
      <c r="E361" t="s">
        <v>14</v>
      </c>
      <c r="F361">
        <v>60</v>
      </c>
      <c r="G361">
        <v>10017</v>
      </c>
      <c r="H361">
        <v>4</v>
      </c>
      <c r="I361">
        <v>4</v>
      </c>
      <c r="J361" t="s">
        <v>20</v>
      </c>
      <c r="K361" t="s">
        <v>16</v>
      </c>
      <c r="L361" t="s">
        <v>25</v>
      </c>
    </row>
    <row r="362" spans="1:12" x14ac:dyDescent="0.2">
      <c r="A362">
        <v>361</v>
      </c>
      <c r="B362" s="1">
        <v>43224</v>
      </c>
      <c r="C362" t="s">
        <v>12</v>
      </c>
      <c r="D362" t="s">
        <v>41</v>
      </c>
      <c r="E362" t="s">
        <v>24</v>
      </c>
      <c r="F362">
        <v>34</v>
      </c>
      <c r="G362">
        <v>11575</v>
      </c>
      <c r="H362">
        <v>8</v>
      </c>
      <c r="I362">
        <v>5</v>
      </c>
      <c r="J362" t="s">
        <v>15</v>
      </c>
      <c r="K362" t="s">
        <v>16</v>
      </c>
      <c r="L362" t="s">
        <v>39</v>
      </c>
    </row>
    <row r="363" spans="1:12" x14ac:dyDescent="0.2">
      <c r="A363">
        <v>362</v>
      </c>
      <c r="B363" s="1">
        <v>45149</v>
      </c>
      <c r="C363" t="s">
        <v>12</v>
      </c>
      <c r="D363" t="s">
        <v>13</v>
      </c>
      <c r="E363" t="s">
        <v>24</v>
      </c>
      <c r="F363">
        <v>53</v>
      </c>
      <c r="G363">
        <v>18079</v>
      </c>
      <c r="H363">
        <v>14</v>
      </c>
      <c r="I363">
        <v>2</v>
      </c>
      <c r="J363" t="s">
        <v>20</v>
      </c>
      <c r="K363" t="s">
        <v>16</v>
      </c>
      <c r="L363" t="s">
        <v>17</v>
      </c>
    </row>
    <row r="364" spans="1:12" x14ac:dyDescent="0.2">
      <c r="A364">
        <v>363</v>
      </c>
      <c r="B364" s="1">
        <v>43287</v>
      </c>
      <c r="C364" t="s">
        <v>12</v>
      </c>
      <c r="D364" t="s">
        <v>41</v>
      </c>
      <c r="E364" t="s">
        <v>14</v>
      </c>
      <c r="F364">
        <v>37</v>
      </c>
      <c r="G364">
        <v>7996</v>
      </c>
      <c r="H364">
        <v>5</v>
      </c>
      <c r="I364">
        <v>4</v>
      </c>
      <c r="J364" t="s">
        <v>15</v>
      </c>
      <c r="K364" t="s">
        <v>16</v>
      </c>
      <c r="L364" t="s">
        <v>34</v>
      </c>
    </row>
    <row r="365" spans="1:12" x14ac:dyDescent="0.2">
      <c r="A365">
        <v>364</v>
      </c>
      <c r="B365" s="1">
        <v>40970</v>
      </c>
      <c r="C365" t="s">
        <v>36</v>
      </c>
      <c r="D365" t="s">
        <v>42</v>
      </c>
      <c r="E365" t="s">
        <v>14</v>
      </c>
      <c r="F365">
        <v>30</v>
      </c>
      <c r="G365">
        <v>18907</v>
      </c>
      <c r="H365">
        <v>9</v>
      </c>
      <c r="I365">
        <v>4</v>
      </c>
      <c r="J365" t="s">
        <v>15</v>
      </c>
      <c r="K365" t="s">
        <v>27</v>
      </c>
      <c r="L365" t="s">
        <v>34</v>
      </c>
    </row>
    <row r="366" spans="1:12" x14ac:dyDescent="0.2">
      <c r="A366">
        <v>365</v>
      </c>
      <c r="B366" s="1">
        <v>44174</v>
      </c>
      <c r="C366" t="s">
        <v>22</v>
      </c>
      <c r="D366" t="s">
        <v>35</v>
      </c>
      <c r="E366" t="s">
        <v>14</v>
      </c>
      <c r="F366">
        <v>49</v>
      </c>
      <c r="G366">
        <v>16164</v>
      </c>
      <c r="H366">
        <v>2</v>
      </c>
      <c r="I366">
        <v>2</v>
      </c>
      <c r="J366" t="s">
        <v>15</v>
      </c>
      <c r="K366" t="s">
        <v>27</v>
      </c>
      <c r="L366" t="s">
        <v>34</v>
      </c>
    </row>
    <row r="367" spans="1:12" x14ac:dyDescent="0.2">
      <c r="A367">
        <v>366</v>
      </c>
      <c r="B367" s="1">
        <v>42899</v>
      </c>
      <c r="C367" t="s">
        <v>36</v>
      </c>
      <c r="D367" t="s">
        <v>42</v>
      </c>
      <c r="E367" t="s">
        <v>14</v>
      </c>
      <c r="F367">
        <v>38</v>
      </c>
      <c r="G367">
        <v>16937</v>
      </c>
      <c r="H367">
        <v>13</v>
      </c>
      <c r="I367">
        <v>2</v>
      </c>
      <c r="J367" t="s">
        <v>15</v>
      </c>
      <c r="K367" t="s">
        <v>27</v>
      </c>
      <c r="L367" t="s">
        <v>25</v>
      </c>
    </row>
    <row r="368" spans="1:12" x14ac:dyDescent="0.2">
      <c r="A368">
        <v>367</v>
      </c>
      <c r="B368" s="1">
        <v>45044</v>
      </c>
      <c r="C368" t="s">
        <v>28</v>
      </c>
      <c r="D368" t="s">
        <v>29</v>
      </c>
      <c r="E368" t="s">
        <v>24</v>
      </c>
      <c r="F368">
        <v>26</v>
      </c>
      <c r="G368">
        <v>10476</v>
      </c>
      <c r="H368">
        <v>6</v>
      </c>
      <c r="I368">
        <v>2</v>
      </c>
      <c r="J368" t="s">
        <v>15</v>
      </c>
      <c r="K368" t="s">
        <v>32</v>
      </c>
      <c r="L368" t="s">
        <v>17</v>
      </c>
    </row>
    <row r="369" spans="1:12" x14ac:dyDescent="0.2">
      <c r="A369">
        <v>368</v>
      </c>
      <c r="B369" s="1">
        <v>43892</v>
      </c>
      <c r="C369" t="s">
        <v>30</v>
      </c>
      <c r="D369" t="s">
        <v>38</v>
      </c>
      <c r="E369" t="s">
        <v>24</v>
      </c>
      <c r="F369">
        <v>47</v>
      </c>
      <c r="G369">
        <v>11914</v>
      </c>
      <c r="H369">
        <v>4</v>
      </c>
      <c r="I369">
        <v>5</v>
      </c>
      <c r="J369" t="s">
        <v>20</v>
      </c>
      <c r="K369" t="s">
        <v>27</v>
      </c>
      <c r="L369" t="s">
        <v>25</v>
      </c>
    </row>
    <row r="370" spans="1:12" x14ac:dyDescent="0.2">
      <c r="A370">
        <v>369</v>
      </c>
      <c r="B370" s="1">
        <v>45145</v>
      </c>
      <c r="C370" t="s">
        <v>30</v>
      </c>
      <c r="D370" t="s">
        <v>31</v>
      </c>
      <c r="E370" t="s">
        <v>24</v>
      </c>
      <c r="F370">
        <v>60</v>
      </c>
      <c r="G370">
        <v>18701</v>
      </c>
      <c r="H370">
        <v>10</v>
      </c>
      <c r="I370">
        <v>5</v>
      </c>
      <c r="J370" t="s">
        <v>15</v>
      </c>
      <c r="K370" t="s">
        <v>16</v>
      </c>
      <c r="L370" t="s">
        <v>34</v>
      </c>
    </row>
    <row r="371" spans="1:12" x14ac:dyDescent="0.2">
      <c r="A371">
        <v>370</v>
      </c>
      <c r="B371" s="1">
        <v>40438</v>
      </c>
      <c r="C371" t="s">
        <v>18</v>
      </c>
      <c r="D371" t="s">
        <v>19</v>
      </c>
      <c r="E371" t="s">
        <v>24</v>
      </c>
      <c r="F371">
        <v>34</v>
      </c>
      <c r="G371">
        <v>7795</v>
      </c>
      <c r="H371">
        <v>0</v>
      </c>
      <c r="I371">
        <v>4</v>
      </c>
      <c r="J371" t="s">
        <v>20</v>
      </c>
      <c r="K371" t="s">
        <v>32</v>
      </c>
      <c r="L371" t="s">
        <v>21</v>
      </c>
    </row>
    <row r="372" spans="1:12" x14ac:dyDescent="0.2">
      <c r="A372">
        <v>371</v>
      </c>
      <c r="B372" s="1">
        <v>43894</v>
      </c>
      <c r="C372" t="s">
        <v>28</v>
      </c>
      <c r="D372" t="s">
        <v>29</v>
      </c>
      <c r="E372" t="s">
        <v>14</v>
      </c>
      <c r="F372">
        <v>58</v>
      </c>
      <c r="G372">
        <v>4343</v>
      </c>
      <c r="H372">
        <v>7</v>
      </c>
      <c r="I372">
        <v>2</v>
      </c>
      <c r="J372" t="s">
        <v>20</v>
      </c>
      <c r="K372" t="s">
        <v>32</v>
      </c>
      <c r="L372" t="s">
        <v>17</v>
      </c>
    </row>
    <row r="373" spans="1:12" x14ac:dyDescent="0.2">
      <c r="A373">
        <v>372</v>
      </c>
      <c r="B373" s="1">
        <v>43552</v>
      </c>
      <c r="C373" t="s">
        <v>22</v>
      </c>
      <c r="D373" t="s">
        <v>35</v>
      </c>
      <c r="E373" t="s">
        <v>24</v>
      </c>
      <c r="F373">
        <v>55</v>
      </c>
      <c r="G373">
        <v>18175</v>
      </c>
      <c r="H373">
        <v>14</v>
      </c>
      <c r="I373">
        <v>5</v>
      </c>
      <c r="J373" t="s">
        <v>15</v>
      </c>
      <c r="K373" t="s">
        <v>16</v>
      </c>
      <c r="L373" t="s">
        <v>17</v>
      </c>
    </row>
    <row r="374" spans="1:12" x14ac:dyDescent="0.2">
      <c r="A374">
        <v>373</v>
      </c>
      <c r="B374" s="1">
        <v>42405</v>
      </c>
      <c r="C374" t="s">
        <v>22</v>
      </c>
      <c r="D374" t="s">
        <v>23</v>
      </c>
      <c r="E374" t="s">
        <v>14</v>
      </c>
      <c r="F374">
        <v>24</v>
      </c>
      <c r="G374">
        <v>11583</v>
      </c>
      <c r="H374">
        <v>9</v>
      </c>
      <c r="I374">
        <v>2</v>
      </c>
      <c r="J374" t="s">
        <v>15</v>
      </c>
      <c r="K374" t="s">
        <v>32</v>
      </c>
      <c r="L374" t="s">
        <v>34</v>
      </c>
    </row>
    <row r="375" spans="1:12" x14ac:dyDescent="0.2">
      <c r="A375">
        <v>374</v>
      </c>
      <c r="B375" s="1">
        <v>42888</v>
      </c>
      <c r="C375" t="s">
        <v>30</v>
      </c>
      <c r="D375" t="s">
        <v>38</v>
      </c>
      <c r="E375" t="s">
        <v>24</v>
      </c>
      <c r="F375">
        <v>26</v>
      </c>
      <c r="G375">
        <v>5347</v>
      </c>
      <c r="H375">
        <v>10</v>
      </c>
      <c r="I375">
        <v>5</v>
      </c>
      <c r="J375" t="s">
        <v>20</v>
      </c>
      <c r="K375" t="s">
        <v>27</v>
      </c>
      <c r="L375" t="s">
        <v>39</v>
      </c>
    </row>
    <row r="376" spans="1:12" x14ac:dyDescent="0.2">
      <c r="A376">
        <v>375</v>
      </c>
      <c r="B376" s="1">
        <v>44077</v>
      </c>
      <c r="C376" t="s">
        <v>30</v>
      </c>
      <c r="D376" t="s">
        <v>38</v>
      </c>
      <c r="E376" t="s">
        <v>24</v>
      </c>
      <c r="F376">
        <v>41</v>
      </c>
      <c r="G376">
        <v>14307</v>
      </c>
      <c r="H376">
        <v>1</v>
      </c>
      <c r="I376">
        <v>4</v>
      </c>
      <c r="J376" t="s">
        <v>20</v>
      </c>
      <c r="K376" t="s">
        <v>32</v>
      </c>
      <c r="L376" t="s">
        <v>34</v>
      </c>
    </row>
    <row r="377" spans="1:12" x14ac:dyDescent="0.2">
      <c r="A377">
        <v>376</v>
      </c>
      <c r="B377" s="1">
        <v>43078</v>
      </c>
      <c r="C377" t="s">
        <v>28</v>
      </c>
      <c r="D377" t="s">
        <v>29</v>
      </c>
      <c r="E377" t="s">
        <v>14</v>
      </c>
      <c r="F377">
        <v>39</v>
      </c>
      <c r="G377">
        <v>14975</v>
      </c>
      <c r="H377">
        <v>1</v>
      </c>
      <c r="I377">
        <v>5</v>
      </c>
      <c r="J377" t="s">
        <v>20</v>
      </c>
      <c r="K377" t="s">
        <v>27</v>
      </c>
      <c r="L377" t="s">
        <v>21</v>
      </c>
    </row>
    <row r="378" spans="1:12" x14ac:dyDescent="0.2">
      <c r="A378">
        <v>377</v>
      </c>
      <c r="B378" s="1">
        <v>40296</v>
      </c>
      <c r="C378" t="s">
        <v>12</v>
      </c>
      <c r="D378" t="s">
        <v>13</v>
      </c>
      <c r="E378" t="s">
        <v>24</v>
      </c>
      <c r="F378">
        <v>40</v>
      </c>
      <c r="G378">
        <v>13351</v>
      </c>
      <c r="H378">
        <v>15</v>
      </c>
      <c r="I378">
        <v>1</v>
      </c>
      <c r="J378" t="s">
        <v>15</v>
      </c>
      <c r="K378" t="s">
        <v>32</v>
      </c>
      <c r="L378" t="s">
        <v>34</v>
      </c>
    </row>
    <row r="379" spans="1:12" x14ac:dyDescent="0.2">
      <c r="A379">
        <v>378</v>
      </c>
      <c r="B379" s="1">
        <v>41170</v>
      </c>
      <c r="C379" t="s">
        <v>30</v>
      </c>
      <c r="D379" t="s">
        <v>31</v>
      </c>
      <c r="E379" t="s">
        <v>24</v>
      </c>
      <c r="F379">
        <v>48</v>
      </c>
      <c r="G379">
        <v>19575</v>
      </c>
      <c r="H379">
        <v>7</v>
      </c>
      <c r="I379">
        <v>3</v>
      </c>
      <c r="J379" t="s">
        <v>15</v>
      </c>
      <c r="K379" t="s">
        <v>32</v>
      </c>
      <c r="L379" t="s">
        <v>21</v>
      </c>
    </row>
    <row r="380" spans="1:12" x14ac:dyDescent="0.2">
      <c r="A380">
        <v>379</v>
      </c>
      <c r="B380" s="1">
        <v>43493</v>
      </c>
      <c r="C380" t="s">
        <v>36</v>
      </c>
      <c r="D380" t="s">
        <v>40</v>
      </c>
      <c r="E380" t="s">
        <v>24</v>
      </c>
      <c r="F380">
        <v>35</v>
      </c>
      <c r="G380">
        <v>10859</v>
      </c>
      <c r="H380">
        <v>4</v>
      </c>
      <c r="I380">
        <v>4</v>
      </c>
      <c r="J380" t="s">
        <v>15</v>
      </c>
      <c r="K380" t="s">
        <v>16</v>
      </c>
      <c r="L380" t="s">
        <v>21</v>
      </c>
    </row>
    <row r="381" spans="1:12" x14ac:dyDescent="0.2">
      <c r="A381">
        <v>380</v>
      </c>
      <c r="B381" s="1">
        <v>44409</v>
      </c>
      <c r="C381" t="s">
        <v>18</v>
      </c>
      <c r="D381" t="s">
        <v>19</v>
      </c>
      <c r="E381" t="s">
        <v>14</v>
      </c>
      <c r="F381">
        <v>34</v>
      </c>
      <c r="G381">
        <v>9611</v>
      </c>
      <c r="H381">
        <v>9</v>
      </c>
      <c r="I381">
        <v>2</v>
      </c>
      <c r="J381" t="s">
        <v>20</v>
      </c>
      <c r="K381" t="s">
        <v>27</v>
      </c>
      <c r="L381" t="s">
        <v>21</v>
      </c>
    </row>
    <row r="382" spans="1:12" x14ac:dyDescent="0.2">
      <c r="A382">
        <v>381</v>
      </c>
      <c r="B382" s="1">
        <v>40642</v>
      </c>
      <c r="C382" t="s">
        <v>28</v>
      </c>
      <c r="D382" t="s">
        <v>33</v>
      </c>
      <c r="E382" t="s">
        <v>24</v>
      </c>
      <c r="F382">
        <v>35</v>
      </c>
      <c r="G382">
        <v>18382</v>
      </c>
      <c r="H382">
        <v>4</v>
      </c>
      <c r="I382">
        <v>2</v>
      </c>
      <c r="J382" t="s">
        <v>15</v>
      </c>
      <c r="K382" t="s">
        <v>27</v>
      </c>
      <c r="L382" t="s">
        <v>17</v>
      </c>
    </row>
    <row r="383" spans="1:12" x14ac:dyDescent="0.2">
      <c r="A383">
        <v>382</v>
      </c>
      <c r="B383" s="1">
        <v>40693</v>
      </c>
      <c r="C383" t="s">
        <v>12</v>
      </c>
      <c r="D383" t="s">
        <v>41</v>
      </c>
      <c r="E383" t="s">
        <v>24</v>
      </c>
      <c r="F383">
        <v>35</v>
      </c>
      <c r="G383">
        <v>9511</v>
      </c>
      <c r="H383">
        <v>5</v>
      </c>
      <c r="I383">
        <v>1</v>
      </c>
      <c r="J383" t="s">
        <v>15</v>
      </c>
      <c r="K383" t="s">
        <v>32</v>
      </c>
      <c r="L383" t="s">
        <v>21</v>
      </c>
    </row>
    <row r="384" spans="1:12" x14ac:dyDescent="0.2">
      <c r="A384">
        <v>383</v>
      </c>
      <c r="B384" s="1">
        <v>42144</v>
      </c>
      <c r="C384" t="s">
        <v>30</v>
      </c>
      <c r="D384" t="s">
        <v>31</v>
      </c>
      <c r="E384" t="s">
        <v>24</v>
      </c>
      <c r="F384">
        <v>47</v>
      </c>
      <c r="G384">
        <v>17484</v>
      </c>
      <c r="H384">
        <v>1</v>
      </c>
      <c r="I384">
        <v>4</v>
      </c>
      <c r="J384" t="s">
        <v>15</v>
      </c>
      <c r="K384" t="s">
        <v>32</v>
      </c>
      <c r="L384" t="s">
        <v>17</v>
      </c>
    </row>
    <row r="385" spans="1:12" x14ac:dyDescent="0.2">
      <c r="A385">
        <v>384</v>
      </c>
      <c r="B385" s="1">
        <v>42790</v>
      </c>
      <c r="C385" t="s">
        <v>12</v>
      </c>
      <c r="D385" t="s">
        <v>41</v>
      </c>
      <c r="E385" t="s">
        <v>14</v>
      </c>
      <c r="F385">
        <v>42</v>
      </c>
      <c r="G385">
        <v>11529</v>
      </c>
      <c r="H385">
        <v>2</v>
      </c>
      <c r="I385">
        <v>5</v>
      </c>
      <c r="J385" t="s">
        <v>15</v>
      </c>
      <c r="K385" t="s">
        <v>27</v>
      </c>
      <c r="L385" t="s">
        <v>25</v>
      </c>
    </row>
    <row r="386" spans="1:12" x14ac:dyDescent="0.2">
      <c r="A386">
        <v>385</v>
      </c>
      <c r="B386" s="1">
        <v>40265</v>
      </c>
      <c r="C386" t="s">
        <v>12</v>
      </c>
      <c r="D386" t="s">
        <v>41</v>
      </c>
      <c r="E386" t="s">
        <v>14</v>
      </c>
      <c r="F386">
        <v>54</v>
      </c>
      <c r="G386">
        <v>18486</v>
      </c>
      <c r="H386">
        <v>0</v>
      </c>
      <c r="I386">
        <v>1</v>
      </c>
      <c r="J386" t="s">
        <v>15</v>
      </c>
      <c r="K386" t="s">
        <v>32</v>
      </c>
      <c r="L386" t="s">
        <v>21</v>
      </c>
    </row>
    <row r="387" spans="1:12" x14ac:dyDescent="0.2">
      <c r="A387">
        <v>386</v>
      </c>
      <c r="B387" s="1">
        <v>44923</v>
      </c>
      <c r="C387" t="s">
        <v>18</v>
      </c>
      <c r="D387" t="s">
        <v>26</v>
      </c>
      <c r="E387" t="s">
        <v>14</v>
      </c>
      <c r="F387">
        <v>60</v>
      </c>
      <c r="G387">
        <v>11045</v>
      </c>
      <c r="H387">
        <v>12</v>
      </c>
      <c r="I387">
        <v>5</v>
      </c>
      <c r="J387" t="s">
        <v>15</v>
      </c>
      <c r="K387" t="s">
        <v>27</v>
      </c>
      <c r="L387" t="s">
        <v>34</v>
      </c>
    </row>
    <row r="388" spans="1:12" x14ac:dyDescent="0.2">
      <c r="A388">
        <v>387</v>
      </c>
      <c r="B388" s="1">
        <v>44965</v>
      </c>
      <c r="C388" t="s">
        <v>18</v>
      </c>
      <c r="D388" t="s">
        <v>26</v>
      </c>
      <c r="E388" t="s">
        <v>14</v>
      </c>
      <c r="F388">
        <v>24</v>
      </c>
      <c r="G388">
        <v>7304</v>
      </c>
      <c r="H388">
        <v>15</v>
      </c>
      <c r="I388">
        <v>1</v>
      </c>
      <c r="J388" t="s">
        <v>20</v>
      </c>
      <c r="K388" t="s">
        <v>32</v>
      </c>
      <c r="L388" t="s">
        <v>39</v>
      </c>
    </row>
    <row r="389" spans="1:12" x14ac:dyDescent="0.2">
      <c r="A389">
        <v>388</v>
      </c>
      <c r="B389" s="1">
        <v>43358</v>
      </c>
      <c r="C389" t="s">
        <v>30</v>
      </c>
      <c r="D389" t="s">
        <v>38</v>
      </c>
      <c r="E389" t="s">
        <v>24</v>
      </c>
      <c r="F389">
        <v>48</v>
      </c>
      <c r="G389">
        <v>10968</v>
      </c>
      <c r="H389">
        <v>0</v>
      </c>
      <c r="I389">
        <v>4</v>
      </c>
      <c r="J389" t="s">
        <v>15</v>
      </c>
      <c r="K389" t="s">
        <v>27</v>
      </c>
      <c r="L389" t="s">
        <v>39</v>
      </c>
    </row>
    <row r="390" spans="1:12" x14ac:dyDescent="0.2">
      <c r="A390">
        <v>389</v>
      </c>
      <c r="B390" s="1">
        <v>40765</v>
      </c>
      <c r="C390" t="s">
        <v>22</v>
      </c>
      <c r="D390" t="s">
        <v>35</v>
      </c>
      <c r="E390" t="s">
        <v>24</v>
      </c>
      <c r="F390">
        <v>36</v>
      </c>
      <c r="G390">
        <v>6600</v>
      </c>
      <c r="H390">
        <v>12</v>
      </c>
      <c r="I390">
        <v>5</v>
      </c>
      <c r="J390" t="s">
        <v>15</v>
      </c>
      <c r="K390" t="s">
        <v>32</v>
      </c>
      <c r="L390" t="s">
        <v>21</v>
      </c>
    </row>
    <row r="391" spans="1:12" x14ac:dyDescent="0.2">
      <c r="A391">
        <v>390</v>
      </c>
      <c r="B391" s="1">
        <v>43829</v>
      </c>
      <c r="C391" t="s">
        <v>30</v>
      </c>
      <c r="D391" t="s">
        <v>31</v>
      </c>
      <c r="E391" t="s">
        <v>24</v>
      </c>
      <c r="F391">
        <v>30</v>
      </c>
      <c r="G391">
        <v>10457</v>
      </c>
      <c r="H391">
        <v>2</v>
      </c>
      <c r="I391">
        <v>5</v>
      </c>
      <c r="J391" t="s">
        <v>15</v>
      </c>
      <c r="K391" t="s">
        <v>32</v>
      </c>
      <c r="L391" t="s">
        <v>39</v>
      </c>
    </row>
    <row r="392" spans="1:12" x14ac:dyDescent="0.2">
      <c r="A392">
        <v>391</v>
      </c>
      <c r="B392" s="1">
        <v>43835</v>
      </c>
      <c r="C392" t="s">
        <v>12</v>
      </c>
      <c r="D392" t="s">
        <v>13</v>
      </c>
      <c r="E392" t="s">
        <v>24</v>
      </c>
      <c r="F392">
        <v>30</v>
      </c>
      <c r="G392">
        <v>15014</v>
      </c>
      <c r="H392">
        <v>11</v>
      </c>
      <c r="I392">
        <v>2</v>
      </c>
      <c r="J392" t="s">
        <v>15</v>
      </c>
      <c r="K392" t="s">
        <v>27</v>
      </c>
      <c r="L392" t="s">
        <v>17</v>
      </c>
    </row>
    <row r="393" spans="1:12" x14ac:dyDescent="0.2">
      <c r="A393">
        <v>392</v>
      </c>
      <c r="B393" s="1">
        <v>41077</v>
      </c>
      <c r="C393" t="s">
        <v>22</v>
      </c>
      <c r="D393" t="s">
        <v>23</v>
      </c>
      <c r="E393" t="s">
        <v>24</v>
      </c>
      <c r="F393">
        <v>37</v>
      </c>
      <c r="G393">
        <v>17397</v>
      </c>
      <c r="H393">
        <v>12</v>
      </c>
      <c r="I393">
        <v>3</v>
      </c>
      <c r="J393" t="s">
        <v>15</v>
      </c>
      <c r="K393" t="s">
        <v>32</v>
      </c>
      <c r="L393" t="s">
        <v>17</v>
      </c>
    </row>
    <row r="394" spans="1:12" x14ac:dyDescent="0.2">
      <c r="A394">
        <v>393</v>
      </c>
      <c r="B394" s="1">
        <v>44695</v>
      </c>
      <c r="C394" t="s">
        <v>28</v>
      </c>
      <c r="D394" t="s">
        <v>33</v>
      </c>
      <c r="E394" t="s">
        <v>24</v>
      </c>
      <c r="F394">
        <v>28</v>
      </c>
      <c r="G394">
        <v>13363</v>
      </c>
      <c r="H394">
        <v>10</v>
      </c>
      <c r="I394">
        <v>5</v>
      </c>
      <c r="J394" t="s">
        <v>20</v>
      </c>
      <c r="K394" t="s">
        <v>16</v>
      </c>
      <c r="L394" t="s">
        <v>21</v>
      </c>
    </row>
    <row r="395" spans="1:12" x14ac:dyDescent="0.2">
      <c r="A395">
        <v>394</v>
      </c>
      <c r="B395" s="1">
        <v>42527</v>
      </c>
      <c r="C395" t="s">
        <v>18</v>
      </c>
      <c r="D395" t="s">
        <v>26</v>
      </c>
      <c r="E395" t="s">
        <v>14</v>
      </c>
      <c r="F395">
        <v>56</v>
      </c>
      <c r="G395">
        <v>6640</v>
      </c>
      <c r="H395">
        <v>4</v>
      </c>
      <c r="I395">
        <v>2</v>
      </c>
      <c r="J395" t="s">
        <v>20</v>
      </c>
      <c r="K395" t="s">
        <v>16</v>
      </c>
      <c r="L395" t="s">
        <v>39</v>
      </c>
    </row>
    <row r="396" spans="1:12" x14ac:dyDescent="0.2">
      <c r="A396">
        <v>395</v>
      </c>
      <c r="B396" s="1">
        <v>44642</v>
      </c>
      <c r="C396" t="s">
        <v>28</v>
      </c>
      <c r="D396" t="s">
        <v>29</v>
      </c>
      <c r="E396" t="s">
        <v>14</v>
      </c>
      <c r="F396">
        <v>37</v>
      </c>
      <c r="G396">
        <v>6172</v>
      </c>
      <c r="H396">
        <v>9</v>
      </c>
      <c r="I396">
        <v>5</v>
      </c>
      <c r="J396" t="s">
        <v>15</v>
      </c>
      <c r="K396" t="s">
        <v>27</v>
      </c>
      <c r="L396" t="s">
        <v>25</v>
      </c>
    </row>
    <row r="397" spans="1:12" x14ac:dyDescent="0.2">
      <c r="A397">
        <v>396</v>
      </c>
      <c r="B397" s="1">
        <v>40365</v>
      </c>
      <c r="C397" t="s">
        <v>12</v>
      </c>
      <c r="D397" t="s">
        <v>13</v>
      </c>
      <c r="E397" t="s">
        <v>14</v>
      </c>
      <c r="F397">
        <v>41</v>
      </c>
      <c r="G397">
        <v>15569</v>
      </c>
      <c r="H397">
        <v>2</v>
      </c>
      <c r="I397">
        <v>2</v>
      </c>
      <c r="J397" t="s">
        <v>15</v>
      </c>
      <c r="K397" t="s">
        <v>16</v>
      </c>
      <c r="L397" t="s">
        <v>39</v>
      </c>
    </row>
    <row r="398" spans="1:12" x14ac:dyDescent="0.2">
      <c r="A398">
        <v>397</v>
      </c>
      <c r="B398" s="1">
        <v>44916</v>
      </c>
      <c r="C398" t="s">
        <v>18</v>
      </c>
      <c r="D398" t="s">
        <v>19</v>
      </c>
      <c r="E398" t="s">
        <v>14</v>
      </c>
      <c r="F398">
        <v>29</v>
      </c>
      <c r="G398">
        <v>6105</v>
      </c>
      <c r="H398">
        <v>2</v>
      </c>
      <c r="I398">
        <v>3</v>
      </c>
      <c r="J398" t="s">
        <v>20</v>
      </c>
      <c r="K398" t="s">
        <v>16</v>
      </c>
      <c r="L398" t="s">
        <v>25</v>
      </c>
    </row>
    <row r="399" spans="1:12" x14ac:dyDescent="0.2">
      <c r="A399">
        <v>398</v>
      </c>
      <c r="B399" s="1">
        <v>41967</v>
      </c>
      <c r="C399" t="s">
        <v>22</v>
      </c>
      <c r="D399" t="s">
        <v>35</v>
      </c>
      <c r="E399" t="s">
        <v>24</v>
      </c>
      <c r="F399">
        <v>53</v>
      </c>
      <c r="G399">
        <v>8298</v>
      </c>
      <c r="H399">
        <v>10</v>
      </c>
      <c r="I399">
        <v>4</v>
      </c>
      <c r="J399" t="s">
        <v>15</v>
      </c>
      <c r="K399" t="s">
        <v>27</v>
      </c>
      <c r="L399" t="s">
        <v>21</v>
      </c>
    </row>
    <row r="400" spans="1:12" x14ac:dyDescent="0.2">
      <c r="A400">
        <v>399</v>
      </c>
      <c r="B400" s="1">
        <v>42179</v>
      </c>
      <c r="C400" t="s">
        <v>22</v>
      </c>
      <c r="D400" t="s">
        <v>35</v>
      </c>
      <c r="E400" t="s">
        <v>24</v>
      </c>
      <c r="F400">
        <v>30</v>
      </c>
      <c r="G400">
        <v>14501</v>
      </c>
      <c r="H400">
        <v>14</v>
      </c>
      <c r="I400">
        <v>5</v>
      </c>
      <c r="J400" t="s">
        <v>20</v>
      </c>
      <c r="K400" t="s">
        <v>32</v>
      </c>
      <c r="L400" t="s">
        <v>17</v>
      </c>
    </row>
    <row r="401" spans="1:12" x14ac:dyDescent="0.2">
      <c r="A401">
        <v>400</v>
      </c>
      <c r="B401" s="1">
        <v>42390</v>
      </c>
      <c r="C401" t="s">
        <v>30</v>
      </c>
      <c r="D401" t="s">
        <v>38</v>
      </c>
      <c r="E401" t="s">
        <v>24</v>
      </c>
      <c r="F401">
        <v>30</v>
      </c>
      <c r="G401">
        <v>10546</v>
      </c>
      <c r="H401">
        <v>0</v>
      </c>
      <c r="I401">
        <v>2</v>
      </c>
      <c r="J401" t="s">
        <v>20</v>
      </c>
      <c r="K401" t="s">
        <v>32</v>
      </c>
      <c r="L401" t="s">
        <v>17</v>
      </c>
    </row>
    <row r="402" spans="1:12" x14ac:dyDescent="0.2">
      <c r="A402">
        <v>401</v>
      </c>
      <c r="B402" s="1">
        <v>42501</v>
      </c>
      <c r="C402" t="s">
        <v>18</v>
      </c>
      <c r="D402" t="s">
        <v>19</v>
      </c>
      <c r="E402" t="s">
        <v>24</v>
      </c>
      <c r="F402">
        <v>32</v>
      </c>
      <c r="G402">
        <v>16336</v>
      </c>
      <c r="H402">
        <v>0</v>
      </c>
      <c r="I402">
        <v>1</v>
      </c>
      <c r="J402" t="s">
        <v>15</v>
      </c>
      <c r="K402" t="s">
        <v>32</v>
      </c>
      <c r="L402" t="s">
        <v>34</v>
      </c>
    </row>
    <row r="403" spans="1:12" x14ac:dyDescent="0.2">
      <c r="A403">
        <v>402</v>
      </c>
      <c r="B403" s="1">
        <v>42434</v>
      </c>
      <c r="C403" t="s">
        <v>30</v>
      </c>
      <c r="D403" t="s">
        <v>38</v>
      </c>
      <c r="E403" t="s">
        <v>24</v>
      </c>
      <c r="F403">
        <v>35</v>
      </c>
      <c r="G403">
        <v>8188</v>
      </c>
      <c r="H403">
        <v>5</v>
      </c>
      <c r="I403">
        <v>4</v>
      </c>
      <c r="J403" t="s">
        <v>15</v>
      </c>
      <c r="K403" t="s">
        <v>32</v>
      </c>
      <c r="L403" t="s">
        <v>21</v>
      </c>
    </row>
    <row r="404" spans="1:12" x14ac:dyDescent="0.2">
      <c r="A404">
        <v>403</v>
      </c>
      <c r="B404" s="1">
        <v>42527</v>
      </c>
      <c r="C404" t="s">
        <v>30</v>
      </c>
      <c r="D404" t="s">
        <v>31</v>
      </c>
      <c r="E404" t="s">
        <v>24</v>
      </c>
      <c r="F404">
        <v>48</v>
      </c>
      <c r="G404">
        <v>12992</v>
      </c>
      <c r="H404">
        <v>11</v>
      </c>
      <c r="I404">
        <v>5</v>
      </c>
      <c r="J404" t="s">
        <v>15</v>
      </c>
      <c r="K404" t="s">
        <v>32</v>
      </c>
      <c r="L404" t="s">
        <v>17</v>
      </c>
    </row>
    <row r="405" spans="1:12" x14ac:dyDescent="0.2">
      <c r="A405">
        <v>404</v>
      </c>
      <c r="B405" s="1">
        <v>42147</v>
      </c>
      <c r="C405" t="s">
        <v>22</v>
      </c>
      <c r="D405" t="s">
        <v>23</v>
      </c>
      <c r="E405" t="s">
        <v>24</v>
      </c>
      <c r="F405">
        <v>27</v>
      </c>
      <c r="G405">
        <v>7233</v>
      </c>
      <c r="H405">
        <v>6</v>
      </c>
      <c r="I405">
        <v>4</v>
      </c>
      <c r="J405" t="s">
        <v>20</v>
      </c>
      <c r="K405" t="s">
        <v>27</v>
      </c>
      <c r="L405" t="s">
        <v>25</v>
      </c>
    </row>
    <row r="406" spans="1:12" x14ac:dyDescent="0.2">
      <c r="A406">
        <v>405</v>
      </c>
      <c r="B406" s="1">
        <v>44014</v>
      </c>
      <c r="C406" t="s">
        <v>22</v>
      </c>
      <c r="D406" t="s">
        <v>35</v>
      </c>
      <c r="E406" t="s">
        <v>14</v>
      </c>
      <c r="F406">
        <v>31</v>
      </c>
      <c r="G406">
        <v>17223</v>
      </c>
      <c r="H406">
        <v>7</v>
      </c>
      <c r="I406">
        <v>5</v>
      </c>
      <c r="J406" t="s">
        <v>15</v>
      </c>
      <c r="K406" t="s">
        <v>16</v>
      </c>
      <c r="L406" t="s">
        <v>25</v>
      </c>
    </row>
    <row r="407" spans="1:12" x14ac:dyDescent="0.2">
      <c r="A407">
        <v>406</v>
      </c>
      <c r="B407" s="1">
        <v>43626</v>
      </c>
      <c r="C407" t="s">
        <v>28</v>
      </c>
      <c r="D407" t="s">
        <v>33</v>
      </c>
      <c r="E407" t="s">
        <v>24</v>
      </c>
      <c r="F407">
        <v>48</v>
      </c>
      <c r="G407">
        <v>8498</v>
      </c>
      <c r="H407">
        <v>6</v>
      </c>
      <c r="I407">
        <v>4</v>
      </c>
      <c r="J407" t="s">
        <v>15</v>
      </c>
      <c r="K407" t="s">
        <v>32</v>
      </c>
      <c r="L407" t="s">
        <v>17</v>
      </c>
    </row>
    <row r="408" spans="1:12" x14ac:dyDescent="0.2">
      <c r="A408">
        <v>407</v>
      </c>
      <c r="B408" s="1">
        <v>42869</v>
      </c>
      <c r="C408" t="s">
        <v>22</v>
      </c>
      <c r="D408" t="s">
        <v>23</v>
      </c>
      <c r="E408" t="s">
        <v>24</v>
      </c>
      <c r="F408">
        <v>47</v>
      </c>
      <c r="G408">
        <v>11257</v>
      </c>
      <c r="H408">
        <v>7</v>
      </c>
      <c r="I408">
        <v>4</v>
      </c>
      <c r="J408" t="s">
        <v>15</v>
      </c>
      <c r="K408" t="s">
        <v>16</v>
      </c>
      <c r="L408" t="s">
        <v>39</v>
      </c>
    </row>
    <row r="409" spans="1:12" x14ac:dyDescent="0.2">
      <c r="A409">
        <v>408</v>
      </c>
      <c r="B409" s="1">
        <v>40980</v>
      </c>
      <c r="C409" t="s">
        <v>28</v>
      </c>
      <c r="D409" t="s">
        <v>33</v>
      </c>
      <c r="E409" t="s">
        <v>24</v>
      </c>
      <c r="F409">
        <v>29</v>
      </c>
      <c r="G409">
        <v>16060</v>
      </c>
      <c r="H409">
        <v>8</v>
      </c>
      <c r="I409">
        <v>1</v>
      </c>
      <c r="J409" t="s">
        <v>20</v>
      </c>
      <c r="K409" t="s">
        <v>16</v>
      </c>
      <c r="L409" t="s">
        <v>17</v>
      </c>
    </row>
    <row r="410" spans="1:12" x14ac:dyDescent="0.2">
      <c r="A410">
        <v>409</v>
      </c>
      <c r="B410" s="1">
        <v>43734</v>
      </c>
      <c r="C410" t="s">
        <v>30</v>
      </c>
      <c r="D410" t="s">
        <v>38</v>
      </c>
      <c r="E410" t="s">
        <v>14</v>
      </c>
      <c r="F410">
        <v>42</v>
      </c>
      <c r="G410">
        <v>18811</v>
      </c>
      <c r="H410">
        <v>10</v>
      </c>
      <c r="I410">
        <v>1</v>
      </c>
      <c r="J410" t="s">
        <v>20</v>
      </c>
      <c r="K410" t="s">
        <v>32</v>
      </c>
      <c r="L410" t="s">
        <v>34</v>
      </c>
    </row>
    <row r="411" spans="1:12" x14ac:dyDescent="0.2">
      <c r="A411">
        <v>410</v>
      </c>
      <c r="B411" s="1">
        <v>41230</v>
      </c>
      <c r="C411" t="s">
        <v>12</v>
      </c>
      <c r="D411" t="s">
        <v>41</v>
      </c>
      <c r="E411" t="s">
        <v>14</v>
      </c>
      <c r="F411">
        <v>49</v>
      </c>
      <c r="G411">
        <v>17933</v>
      </c>
      <c r="H411">
        <v>1</v>
      </c>
      <c r="I411">
        <v>5</v>
      </c>
      <c r="J411" t="s">
        <v>20</v>
      </c>
      <c r="K411" t="s">
        <v>32</v>
      </c>
      <c r="L411" t="s">
        <v>21</v>
      </c>
    </row>
    <row r="412" spans="1:12" x14ac:dyDescent="0.2">
      <c r="A412">
        <v>411</v>
      </c>
      <c r="B412" s="1">
        <v>41619</v>
      </c>
      <c r="C412" t="s">
        <v>28</v>
      </c>
      <c r="D412" t="s">
        <v>29</v>
      </c>
      <c r="E412" t="s">
        <v>14</v>
      </c>
      <c r="F412">
        <v>57</v>
      </c>
      <c r="G412">
        <v>9317</v>
      </c>
      <c r="H412">
        <v>4</v>
      </c>
      <c r="I412">
        <v>1</v>
      </c>
      <c r="J412" t="s">
        <v>15</v>
      </c>
      <c r="K412" t="s">
        <v>32</v>
      </c>
      <c r="L412" t="s">
        <v>34</v>
      </c>
    </row>
    <row r="413" spans="1:12" x14ac:dyDescent="0.2">
      <c r="A413">
        <v>412</v>
      </c>
      <c r="B413" s="1">
        <v>42205</v>
      </c>
      <c r="C413" t="s">
        <v>36</v>
      </c>
      <c r="D413" t="s">
        <v>37</v>
      </c>
      <c r="E413" t="s">
        <v>14</v>
      </c>
      <c r="F413">
        <v>48</v>
      </c>
      <c r="G413">
        <v>12658</v>
      </c>
      <c r="H413">
        <v>3</v>
      </c>
      <c r="I413">
        <v>4</v>
      </c>
      <c r="J413" t="s">
        <v>15</v>
      </c>
      <c r="K413" t="s">
        <v>16</v>
      </c>
      <c r="L413" t="s">
        <v>17</v>
      </c>
    </row>
    <row r="414" spans="1:12" x14ac:dyDescent="0.2">
      <c r="A414">
        <v>413</v>
      </c>
      <c r="B414" s="1">
        <v>40585</v>
      </c>
      <c r="C414" t="s">
        <v>28</v>
      </c>
      <c r="D414" t="s">
        <v>29</v>
      </c>
      <c r="E414" t="s">
        <v>24</v>
      </c>
      <c r="F414">
        <v>42</v>
      </c>
      <c r="G414">
        <v>6528</v>
      </c>
      <c r="H414">
        <v>1</v>
      </c>
      <c r="I414">
        <v>3</v>
      </c>
      <c r="J414" t="s">
        <v>15</v>
      </c>
      <c r="K414" t="s">
        <v>16</v>
      </c>
      <c r="L414" t="s">
        <v>39</v>
      </c>
    </row>
    <row r="415" spans="1:12" x14ac:dyDescent="0.2">
      <c r="A415">
        <v>414</v>
      </c>
      <c r="B415" s="1">
        <v>40346</v>
      </c>
      <c r="C415" t="s">
        <v>12</v>
      </c>
      <c r="D415" t="s">
        <v>13</v>
      </c>
      <c r="E415" t="s">
        <v>24</v>
      </c>
      <c r="F415">
        <v>60</v>
      </c>
      <c r="G415">
        <v>10244</v>
      </c>
      <c r="H415">
        <v>1</v>
      </c>
      <c r="I415">
        <v>2</v>
      </c>
      <c r="J415" t="s">
        <v>15</v>
      </c>
      <c r="K415" t="s">
        <v>27</v>
      </c>
      <c r="L415" t="s">
        <v>21</v>
      </c>
    </row>
    <row r="416" spans="1:12" x14ac:dyDescent="0.2">
      <c r="A416">
        <v>415</v>
      </c>
      <c r="B416" s="1">
        <v>41062</v>
      </c>
      <c r="C416" t="s">
        <v>18</v>
      </c>
      <c r="D416" t="s">
        <v>19</v>
      </c>
      <c r="E416" t="s">
        <v>14</v>
      </c>
      <c r="F416">
        <v>53</v>
      </c>
      <c r="G416">
        <v>16322</v>
      </c>
      <c r="H416">
        <v>2</v>
      </c>
      <c r="I416">
        <v>4</v>
      </c>
      <c r="J416" t="s">
        <v>15</v>
      </c>
      <c r="K416" t="s">
        <v>16</v>
      </c>
      <c r="L416" t="s">
        <v>17</v>
      </c>
    </row>
    <row r="417" spans="1:12" x14ac:dyDescent="0.2">
      <c r="A417">
        <v>416</v>
      </c>
      <c r="B417" s="1">
        <v>45124</v>
      </c>
      <c r="C417" t="s">
        <v>28</v>
      </c>
      <c r="D417" t="s">
        <v>33</v>
      </c>
      <c r="E417" t="s">
        <v>14</v>
      </c>
      <c r="F417">
        <v>54</v>
      </c>
      <c r="G417">
        <v>9836</v>
      </c>
      <c r="H417">
        <v>4</v>
      </c>
      <c r="I417">
        <v>3</v>
      </c>
      <c r="J417" t="s">
        <v>15</v>
      </c>
      <c r="K417" t="s">
        <v>16</v>
      </c>
      <c r="L417" t="s">
        <v>34</v>
      </c>
    </row>
    <row r="418" spans="1:12" x14ac:dyDescent="0.2">
      <c r="A418">
        <v>417</v>
      </c>
      <c r="B418" s="1">
        <v>41354</v>
      </c>
      <c r="C418" t="s">
        <v>28</v>
      </c>
      <c r="D418" t="s">
        <v>29</v>
      </c>
      <c r="E418" t="s">
        <v>24</v>
      </c>
      <c r="F418">
        <v>58</v>
      </c>
      <c r="G418">
        <v>14476</v>
      </c>
      <c r="H418">
        <v>6</v>
      </c>
      <c r="I418">
        <v>5</v>
      </c>
      <c r="J418" t="s">
        <v>15</v>
      </c>
      <c r="K418" t="s">
        <v>32</v>
      </c>
      <c r="L418" t="s">
        <v>21</v>
      </c>
    </row>
    <row r="419" spans="1:12" x14ac:dyDescent="0.2">
      <c r="A419">
        <v>418</v>
      </c>
      <c r="B419" s="1">
        <v>42200</v>
      </c>
      <c r="C419" t="s">
        <v>36</v>
      </c>
      <c r="D419" t="s">
        <v>37</v>
      </c>
      <c r="E419" t="s">
        <v>14</v>
      </c>
      <c r="F419">
        <v>26</v>
      </c>
      <c r="G419">
        <v>19510</v>
      </c>
      <c r="H419">
        <v>6</v>
      </c>
      <c r="I419">
        <v>5</v>
      </c>
      <c r="J419" t="s">
        <v>20</v>
      </c>
      <c r="K419" t="s">
        <v>27</v>
      </c>
      <c r="L419" t="s">
        <v>39</v>
      </c>
    </row>
    <row r="420" spans="1:12" x14ac:dyDescent="0.2">
      <c r="A420">
        <v>419</v>
      </c>
      <c r="B420" s="1">
        <v>42994</v>
      </c>
      <c r="C420" t="s">
        <v>36</v>
      </c>
      <c r="D420" t="s">
        <v>37</v>
      </c>
      <c r="E420" t="s">
        <v>14</v>
      </c>
      <c r="F420">
        <v>31</v>
      </c>
      <c r="G420">
        <v>9882</v>
      </c>
      <c r="H420">
        <v>2</v>
      </c>
      <c r="I420">
        <v>2</v>
      </c>
      <c r="J420" t="s">
        <v>15</v>
      </c>
      <c r="K420" t="s">
        <v>16</v>
      </c>
      <c r="L420" t="s">
        <v>21</v>
      </c>
    </row>
    <row r="421" spans="1:12" x14ac:dyDescent="0.2">
      <c r="A421">
        <v>420</v>
      </c>
      <c r="B421" s="1">
        <v>42874</v>
      </c>
      <c r="C421" t="s">
        <v>22</v>
      </c>
      <c r="D421" t="s">
        <v>35</v>
      </c>
      <c r="E421" t="s">
        <v>14</v>
      </c>
      <c r="F421">
        <v>56</v>
      </c>
      <c r="G421">
        <v>11940</v>
      </c>
      <c r="H421">
        <v>5</v>
      </c>
      <c r="I421">
        <v>3</v>
      </c>
      <c r="J421" t="s">
        <v>20</v>
      </c>
      <c r="K421" t="s">
        <v>16</v>
      </c>
      <c r="L421" t="s">
        <v>17</v>
      </c>
    </row>
    <row r="422" spans="1:12" x14ac:dyDescent="0.2">
      <c r="A422">
        <v>421</v>
      </c>
      <c r="B422" s="1">
        <v>42743</v>
      </c>
      <c r="C422" t="s">
        <v>18</v>
      </c>
      <c r="D422" t="s">
        <v>19</v>
      </c>
      <c r="E422" t="s">
        <v>24</v>
      </c>
      <c r="F422">
        <v>48</v>
      </c>
      <c r="G422">
        <v>13111</v>
      </c>
      <c r="H422">
        <v>14</v>
      </c>
      <c r="I422">
        <v>1</v>
      </c>
      <c r="J422" t="s">
        <v>15</v>
      </c>
      <c r="K422" t="s">
        <v>32</v>
      </c>
      <c r="L422" t="s">
        <v>17</v>
      </c>
    </row>
    <row r="423" spans="1:12" x14ac:dyDescent="0.2">
      <c r="A423">
        <v>422</v>
      </c>
      <c r="B423" s="1">
        <v>42092</v>
      </c>
      <c r="C423" t="s">
        <v>28</v>
      </c>
      <c r="D423" t="s">
        <v>33</v>
      </c>
      <c r="E423" t="s">
        <v>24</v>
      </c>
      <c r="F423">
        <v>51</v>
      </c>
      <c r="G423">
        <v>8022</v>
      </c>
      <c r="H423">
        <v>2</v>
      </c>
      <c r="I423">
        <v>5</v>
      </c>
      <c r="J423" t="s">
        <v>20</v>
      </c>
      <c r="K423" t="s">
        <v>16</v>
      </c>
      <c r="L423" t="s">
        <v>34</v>
      </c>
    </row>
    <row r="424" spans="1:12" x14ac:dyDescent="0.2">
      <c r="A424">
        <v>423</v>
      </c>
      <c r="B424" s="1">
        <v>43524</v>
      </c>
      <c r="C424" t="s">
        <v>28</v>
      </c>
      <c r="D424" t="s">
        <v>29</v>
      </c>
      <c r="E424" t="s">
        <v>14</v>
      </c>
      <c r="F424">
        <v>60</v>
      </c>
      <c r="G424">
        <v>19503</v>
      </c>
      <c r="H424">
        <v>9</v>
      </c>
      <c r="I424">
        <v>2</v>
      </c>
      <c r="J424" t="s">
        <v>15</v>
      </c>
      <c r="K424" t="s">
        <v>16</v>
      </c>
      <c r="L424" t="s">
        <v>34</v>
      </c>
    </row>
    <row r="425" spans="1:12" x14ac:dyDescent="0.2">
      <c r="A425">
        <v>424</v>
      </c>
      <c r="B425" s="1">
        <v>40375</v>
      </c>
      <c r="C425" t="s">
        <v>36</v>
      </c>
      <c r="D425" t="s">
        <v>40</v>
      </c>
      <c r="E425" t="s">
        <v>14</v>
      </c>
      <c r="F425">
        <v>29</v>
      </c>
      <c r="G425">
        <v>4064</v>
      </c>
      <c r="H425">
        <v>7</v>
      </c>
      <c r="I425">
        <v>2</v>
      </c>
      <c r="J425" t="s">
        <v>20</v>
      </c>
      <c r="K425" t="s">
        <v>32</v>
      </c>
      <c r="L425" t="s">
        <v>17</v>
      </c>
    </row>
    <row r="426" spans="1:12" x14ac:dyDescent="0.2">
      <c r="A426">
        <v>425</v>
      </c>
      <c r="B426" s="1">
        <v>41021</v>
      </c>
      <c r="C426" t="s">
        <v>22</v>
      </c>
      <c r="D426" t="s">
        <v>23</v>
      </c>
      <c r="E426" t="s">
        <v>24</v>
      </c>
      <c r="F426">
        <v>28</v>
      </c>
      <c r="G426">
        <v>16500</v>
      </c>
      <c r="H426">
        <v>9</v>
      </c>
      <c r="I426">
        <v>2</v>
      </c>
      <c r="J426" t="s">
        <v>20</v>
      </c>
      <c r="K426" t="s">
        <v>32</v>
      </c>
      <c r="L426" t="s">
        <v>39</v>
      </c>
    </row>
    <row r="427" spans="1:12" x14ac:dyDescent="0.2">
      <c r="A427">
        <v>426</v>
      </c>
      <c r="B427" s="1">
        <v>44670</v>
      </c>
      <c r="C427" t="s">
        <v>36</v>
      </c>
      <c r="D427" t="s">
        <v>42</v>
      </c>
      <c r="E427" t="s">
        <v>24</v>
      </c>
      <c r="F427">
        <v>56</v>
      </c>
      <c r="G427">
        <v>8828</v>
      </c>
      <c r="H427">
        <v>12</v>
      </c>
      <c r="I427">
        <v>3</v>
      </c>
      <c r="J427" t="s">
        <v>20</v>
      </c>
      <c r="K427" t="s">
        <v>16</v>
      </c>
      <c r="L427" t="s">
        <v>34</v>
      </c>
    </row>
    <row r="428" spans="1:12" x14ac:dyDescent="0.2">
      <c r="A428">
        <v>427</v>
      </c>
      <c r="B428" s="1">
        <v>42428</v>
      </c>
      <c r="C428" t="s">
        <v>22</v>
      </c>
      <c r="D428" t="s">
        <v>23</v>
      </c>
      <c r="E428" t="s">
        <v>24</v>
      </c>
      <c r="F428">
        <v>54</v>
      </c>
      <c r="G428">
        <v>5001</v>
      </c>
      <c r="H428">
        <v>2</v>
      </c>
      <c r="I428">
        <v>1</v>
      </c>
      <c r="J428" t="s">
        <v>15</v>
      </c>
      <c r="K428" t="s">
        <v>32</v>
      </c>
      <c r="L428" t="s">
        <v>25</v>
      </c>
    </row>
    <row r="429" spans="1:12" x14ac:dyDescent="0.2">
      <c r="A429">
        <v>428</v>
      </c>
      <c r="B429" s="1">
        <v>45034</v>
      </c>
      <c r="C429" t="s">
        <v>30</v>
      </c>
      <c r="D429" t="s">
        <v>38</v>
      </c>
      <c r="E429" t="s">
        <v>24</v>
      </c>
      <c r="F429">
        <v>31</v>
      </c>
      <c r="G429">
        <v>18478</v>
      </c>
      <c r="H429">
        <v>11</v>
      </c>
      <c r="I429">
        <v>4</v>
      </c>
      <c r="J429" t="s">
        <v>15</v>
      </c>
      <c r="K429" t="s">
        <v>27</v>
      </c>
      <c r="L429" t="s">
        <v>39</v>
      </c>
    </row>
    <row r="430" spans="1:12" x14ac:dyDescent="0.2">
      <c r="A430">
        <v>429</v>
      </c>
      <c r="B430" s="1">
        <v>43489</v>
      </c>
      <c r="C430" t="s">
        <v>36</v>
      </c>
      <c r="D430" t="s">
        <v>40</v>
      </c>
      <c r="E430" t="s">
        <v>24</v>
      </c>
      <c r="F430">
        <v>42</v>
      </c>
      <c r="G430">
        <v>17025</v>
      </c>
      <c r="H430">
        <v>15</v>
      </c>
      <c r="I430">
        <v>4</v>
      </c>
      <c r="J430" t="s">
        <v>15</v>
      </c>
      <c r="K430" t="s">
        <v>16</v>
      </c>
      <c r="L430" t="s">
        <v>17</v>
      </c>
    </row>
    <row r="431" spans="1:12" x14ac:dyDescent="0.2">
      <c r="A431">
        <v>430</v>
      </c>
      <c r="B431" s="1">
        <v>44888</v>
      </c>
      <c r="C431" t="s">
        <v>28</v>
      </c>
      <c r="D431" t="s">
        <v>33</v>
      </c>
      <c r="E431" t="s">
        <v>24</v>
      </c>
      <c r="F431">
        <v>50</v>
      </c>
      <c r="G431">
        <v>17304</v>
      </c>
      <c r="H431">
        <v>5</v>
      </c>
      <c r="I431">
        <v>2</v>
      </c>
      <c r="J431" t="s">
        <v>15</v>
      </c>
      <c r="K431" t="s">
        <v>16</v>
      </c>
      <c r="L431" t="s">
        <v>25</v>
      </c>
    </row>
    <row r="432" spans="1:12" x14ac:dyDescent="0.2">
      <c r="A432">
        <v>431</v>
      </c>
      <c r="B432" s="1">
        <v>44980</v>
      </c>
      <c r="C432" t="s">
        <v>36</v>
      </c>
      <c r="D432" t="s">
        <v>42</v>
      </c>
      <c r="E432" t="s">
        <v>14</v>
      </c>
      <c r="F432">
        <v>50</v>
      </c>
      <c r="G432">
        <v>4816</v>
      </c>
      <c r="H432">
        <v>8</v>
      </c>
      <c r="I432">
        <v>1</v>
      </c>
      <c r="J432" t="s">
        <v>15</v>
      </c>
      <c r="K432" t="s">
        <v>32</v>
      </c>
      <c r="L432" t="s">
        <v>21</v>
      </c>
    </row>
    <row r="433" spans="1:12" x14ac:dyDescent="0.2">
      <c r="A433">
        <v>432</v>
      </c>
      <c r="B433" s="1">
        <v>40394</v>
      </c>
      <c r="C433" t="s">
        <v>12</v>
      </c>
      <c r="D433" t="s">
        <v>13</v>
      </c>
      <c r="E433" t="s">
        <v>14</v>
      </c>
      <c r="F433">
        <v>48</v>
      </c>
      <c r="G433">
        <v>11761</v>
      </c>
      <c r="H433">
        <v>2</v>
      </c>
      <c r="I433">
        <v>1</v>
      </c>
      <c r="J433" t="s">
        <v>15</v>
      </c>
      <c r="K433" t="s">
        <v>27</v>
      </c>
      <c r="L433" t="s">
        <v>25</v>
      </c>
    </row>
    <row r="434" spans="1:12" x14ac:dyDescent="0.2">
      <c r="A434">
        <v>433</v>
      </c>
      <c r="B434" s="1">
        <v>43400</v>
      </c>
      <c r="C434" t="s">
        <v>36</v>
      </c>
      <c r="D434" t="s">
        <v>37</v>
      </c>
      <c r="E434" t="s">
        <v>14</v>
      </c>
      <c r="F434">
        <v>53</v>
      </c>
      <c r="G434">
        <v>9446</v>
      </c>
      <c r="H434">
        <v>10</v>
      </c>
      <c r="I434">
        <v>4</v>
      </c>
      <c r="J434" t="s">
        <v>20</v>
      </c>
      <c r="K434" t="s">
        <v>32</v>
      </c>
      <c r="L434" t="s">
        <v>25</v>
      </c>
    </row>
    <row r="435" spans="1:12" x14ac:dyDescent="0.2">
      <c r="A435">
        <v>434</v>
      </c>
      <c r="B435" s="1">
        <v>40644</v>
      </c>
      <c r="C435" t="s">
        <v>12</v>
      </c>
      <c r="D435" t="s">
        <v>13</v>
      </c>
      <c r="E435" t="s">
        <v>14</v>
      </c>
      <c r="F435">
        <v>50</v>
      </c>
      <c r="G435">
        <v>4761</v>
      </c>
      <c r="H435">
        <v>12</v>
      </c>
      <c r="I435">
        <v>2</v>
      </c>
      <c r="J435" t="s">
        <v>20</v>
      </c>
      <c r="K435" t="s">
        <v>27</v>
      </c>
      <c r="L435" t="s">
        <v>17</v>
      </c>
    </row>
    <row r="436" spans="1:12" x14ac:dyDescent="0.2">
      <c r="A436">
        <v>435</v>
      </c>
      <c r="B436" s="1">
        <v>44188</v>
      </c>
      <c r="C436" t="s">
        <v>12</v>
      </c>
      <c r="D436" t="s">
        <v>41</v>
      </c>
      <c r="E436" t="s">
        <v>24</v>
      </c>
      <c r="F436">
        <v>46</v>
      </c>
      <c r="G436">
        <v>7526</v>
      </c>
      <c r="H436">
        <v>9</v>
      </c>
      <c r="I436">
        <v>2</v>
      </c>
      <c r="J436" t="s">
        <v>20</v>
      </c>
      <c r="K436" t="s">
        <v>32</v>
      </c>
      <c r="L436" t="s">
        <v>25</v>
      </c>
    </row>
    <row r="437" spans="1:12" x14ac:dyDescent="0.2">
      <c r="A437">
        <v>436</v>
      </c>
      <c r="B437" s="1">
        <v>41789</v>
      </c>
      <c r="C437" t="s">
        <v>28</v>
      </c>
      <c r="D437" t="s">
        <v>29</v>
      </c>
      <c r="E437" t="s">
        <v>24</v>
      </c>
      <c r="F437">
        <v>35</v>
      </c>
      <c r="G437">
        <v>5689</v>
      </c>
      <c r="H437">
        <v>11</v>
      </c>
      <c r="I437">
        <v>5</v>
      </c>
      <c r="J437" t="s">
        <v>15</v>
      </c>
      <c r="K437" t="s">
        <v>16</v>
      </c>
      <c r="L437" t="s">
        <v>25</v>
      </c>
    </row>
    <row r="438" spans="1:12" x14ac:dyDescent="0.2">
      <c r="A438">
        <v>437</v>
      </c>
      <c r="B438" s="1">
        <v>43337</v>
      </c>
      <c r="C438" t="s">
        <v>22</v>
      </c>
      <c r="D438" t="s">
        <v>23</v>
      </c>
      <c r="E438" t="s">
        <v>24</v>
      </c>
      <c r="F438">
        <v>28</v>
      </c>
      <c r="G438">
        <v>18145</v>
      </c>
      <c r="H438">
        <v>10</v>
      </c>
      <c r="I438">
        <v>1</v>
      </c>
      <c r="J438" t="s">
        <v>15</v>
      </c>
      <c r="K438" t="s">
        <v>32</v>
      </c>
      <c r="L438" t="s">
        <v>39</v>
      </c>
    </row>
    <row r="439" spans="1:12" x14ac:dyDescent="0.2">
      <c r="A439">
        <v>438</v>
      </c>
      <c r="B439" s="1">
        <v>42020</v>
      </c>
      <c r="C439" t="s">
        <v>18</v>
      </c>
      <c r="D439" t="s">
        <v>19</v>
      </c>
      <c r="E439" t="s">
        <v>14</v>
      </c>
      <c r="F439">
        <v>26</v>
      </c>
      <c r="G439">
        <v>19425</v>
      </c>
      <c r="H439">
        <v>3</v>
      </c>
      <c r="I439">
        <v>4</v>
      </c>
      <c r="J439" t="s">
        <v>20</v>
      </c>
      <c r="K439" t="s">
        <v>27</v>
      </c>
      <c r="L439" t="s">
        <v>25</v>
      </c>
    </row>
    <row r="440" spans="1:12" x14ac:dyDescent="0.2">
      <c r="A440">
        <v>439</v>
      </c>
      <c r="B440" s="1">
        <v>42689</v>
      </c>
      <c r="C440" t="s">
        <v>12</v>
      </c>
      <c r="D440" t="s">
        <v>41</v>
      </c>
      <c r="E440" t="s">
        <v>24</v>
      </c>
      <c r="F440">
        <v>60</v>
      </c>
      <c r="G440">
        <v>17522</v>
      </c>
      <c r="H440">
        <v>9</v>
      </c>
      <c r="I440">
        <v>1</v>
      </c>
      <c r="J440" t="s">
        <v>15</v>
      </c>
      <c r="K440" t="s">
        <v>32</v>
      </c>
      <c r="L440" t="s">
        <v>39</v>
      </c>
    </row>
    <row r="441" spans="1:12" x14ac:dyDescent="0.2">
      <c r="A441">
        <v>440</v>
      </c>
      <c r="B441" s="1">
        <v>40433</v>
      </c>
      <c r="C441" t="s">
        <v>30</v>
      </c>
      <c r="D441" t="s">
        <v>31</v>
      </c>
      <c r="E441" t="s">
        <v>14</v>
      </c>
      <c r="F441">
        <v>38</v>
      </c>
      <c r="G441">
        <v>16237</v>
      </c>
      <c r="H441">
        <v>7</v>
      </c>
      <c r="I441">
        <v>5</v>
      </c>
      <c r="J441" t="s">
        <v>15</v>
      </c>
      <c r="K441" t="s">
        <v>27</v>
      </c>
      <c r="L441" t="s">
        <v>25</v>
      </c>
    </row>
    <row r="442" spans="1:12" x14ac:dyDescent="0.2">
      <c r="A442">
        <v>441</v>
      </c>
      <c r="B442" s="1">
        <v>40217</v>
      </c>
      <c r="C442" t="s">
        <v>30</v>
      </c>
      <c r="D442" t="s">
        <v>38</v>
      </c>
      <c r="E442" t="s">
        <v>24</v>
      </c>
      <c r="F442">
        <v>26</v>
      </c>
      <c r="G442">
        <v>8374</v>
      </c>
      <c r="H442">
        <v>12</v>
      </c>
      <c r="I442">
        <v>1</v>
      </c>
      <c r="J442" t="s">
        <v>20</v>
      </c>
      <c r="K442" t="s">
        <v>16</v>
      </c>
      <c r="L442" t="s">
        <v>21</v>
      </c>
    </row>
    <row r="443" spans="1:12" x14ac:dyDescent="0.2">
      <c r="A443">
        <v>442</v>
      </c>
      <c r="B443" s="1">
        <v>45047</v>
      </c>
      <c r="C443" t="s">
        <v>18</v>
      </c>
      <c r="D443" t="s">
        <v>19</v>
      </c>
      <c r="E443" t="s">
        <v>14</v>
      </c>
      <c r="F443">
        <v>54</v>
      </c>
      <c r="G443">
        <v>15363</v>
      </c>
      <c r="H443">
        <v>13</v>
      </c>
      <c r="I443">
        <v>5</v>
      </c>
      <c r="J443" t="s">
        <v>15</v>
      </c>
      <c r="K443" t="s">
        <v>16</v>
      </c>
      <c r="L443" t="s">
        <v>39</v>
      </c>
    </row>
    <row r="444" spans="1:12" x14ac:dyDescent="0.2">
      <c r="A444">
        <v>443</v>
      </c>
      <c r="B444" s="1">
        <v>40436</v>
      </c>
      <c r="C444" t="s">
        <v>18</v>
      </c>
      <c r="D444" t="s">
        <v>26</v>
      </c>
      <c r="E444" t="s">
        <v>14</v>
      </c>
      <c r="F444">
        <v>58</v>
      </c>
      <c r="G444">
        <v>16623</v>
      </c>
      <c r="H444">
        <v>4</v>
      </c>
      <c r="I444">
        <v>3</v>
      </c>
      <c r="J444" t="s">
        <v>20</v>
      </c>
      <c r="K444" t="s">
        <v>32</v>
      </c>
      <c r="L444" t="s">
        <v>21</v>
      </c>
    </row>
    <row r="445" spans="1:12" x14ac:dyDescent="0.2">
      <c r="A445">
        <v>444</v>
      </c>
      <c r="B445" s="1">
        <v>45071</v>
      </c>
      <c r="C445" t="s">
        <v>22</v>
      </c>
      <c r="D445" t="s">
        <v>23</v>
      </c>
      <c r="E445" t="s">
        <v>24</v>
      </c>
      <c r="F445">
        <v>50</v>
      </c>
      <c r="G445">
        <v>4409</v>
      </c>
      <c r="H445">
        <v>11</v>
      </c>
      <c r="I445">
        <v>5</v>
      </c>
      <c r="J445" t="s">
        <v>20</v>
      </c>
      <c r="K445" t="s">
        <v>16</v>
      </c>
      <c r="L445" t="s">
        <v>34</v>
      </c>
    </row>
    <row r="446" spans="1:12" x14ac:dyDescent="0.2">
      <c r="A446">
        <v>445</v>
      </c>
      <c r="B446" s="1">
        <v>43030</v>
      </c>
      <c r="C446" t="s">
        <v>30</v>
      </c>
      <c r="D446" t="s">
        <v>31</v>
      </c>
      <c r="E446" t="s">
        <v>24</v>
      </c>
      <c r="F446">
        <v>33</v>
      </c>
      <c r="G446">
        <v>18328</v>
      </c>
      <c r="H446">
        <v>8</v>
      </c>
      <c r="I446">
        <v>1</v>
      </c>
      <c r="J446" t="s">
        <v>20</v>
      </c>
      <c r="K446" t="s">
        <v>16</v>
      </c>
      <c r="L446" t="s">
        <v>25</v>
      </c>
    </row>
    <row r="447" spans="1:12" x14ac:dyDescent="0.2">
      <c r="A447">
        <v>446</v>
      </c>
      <c r="B447" s="1">
        <v>44392</v>
      </c>
      <c r="C447" t="s">
        <v>30</v>
      </c>
      <c r="D447" t="s">
        <v>31</v>
      </c>
      <c r="E447" t="s">
        <v>14</v>
      </c>
      <c r="F447">
        <v>58</v>
      </c>
      <c r="G447">
        <v>16953</v>
      </c>
      <c r="H447">
        <v>10</v>
      </c>
      <c r="I447">
        <v>4</v>
      </c>
      <c r="J447" t="s">
        <v>15</v>
      </c>
      <c r="K447" t="s">
        <v>16</v>
      </c>
      <c r="L447" t="s">
        <v>21</v>
      </c>
    </row>
    <row r="448" spans="1:12" x14ac:dyDescent="0.2">
      <c r="A448">
        <v>447</v>
      </c>
      <c r="B448" s="1">
        <v>42282</v>
      </c>
      <c r="C448" t="s">
        <v>12</v>
      </c>
      <c r="D448" t="s">
        <v>41</v>
      </c>
      <c r="E448" t="s">
        <v>24</v>
      </c>
      <c r="F448">
        <v>32</v>
      </c>
      <c r="G448">
        <v>18662</v>
      </c>
      <c r="H448">
        <v>7</v>
      </c>
      <c r="I448">
        <v>1</v>
      </c>
      <c r="J448" t="s">
        <v>20</v>
      </c>
      <c r="K448" t="s">
        <v>27</v>
      </c>
      <c r="L448" t="s">
        <v>17</v>
      </c>
    </row>
    <row r="449" spans="1:12" x14ac:dyDescent="0.2">
      <c r="A449">
        <v>448</v>
      </c>
      <c r="B449" s="1">
        <v>44256</v>
      </c>
      <c r="C449" t="s">
        <v>28</v>
      </c>
      <c r="D449" t="s">
        <v>29</v>
      </c>
      <c r="E449" t="s">
        <v>24</v>
      </c>
      <c r="F449">
        <v>58</v>
      </c>
      <c r="G449">
        <v>8705</v>
      </c>
      <c r="H449">
        <v>1</v>
      </c>
      <c r="I449">
        <v>1</v>
      </c>
      <c r="J449" t="s">
        <v>20</v>
      </c>
      <c r="K449" t="s">
        <v>16</v>
      </c>
      <c r="L449" t="s">
        <v>25</v>
      </c>
    </row>
    <row r="450" spans="1:12" x14ac:dyDescent="0.2">
      <c r="A450">
        <v>449</v>
      </c>
      <c r="B450" s="1">
        <v>40491</v>
      </c>
      <c r="C450" t="s">
        <v>36</v>
      </c>
      <c r="D450" t="s">
        <v>37</v>
      </c>
      <c r="E450" t="s">
        <v>14</v>
      </c>
      <c r="F450">
        <v>50</v>
      </c>
      <c r="G450">
        <v>10287</v>
      </c>
      <c r="H450">
        <v>13</v>
      </c>
      <c r="I450">
        <v>5</v>
      </c>
      <c r="J450" t="s">
        <v>20</v>
      </c>
      <c r="K450" t="s">
        <v>32</v>
      </c>
      <c r="L450" t="s">
        <v>25</v>
      </c>
    </row>
    <row r="451" spans="1:12" x14ac:dyDescent="0.2">
      <c r="A451">
        <v>450</v>
      </c>
      <c r="B451" s="1">
        <v>40291</v>
      </c>
      <c r="C451" t="s">
        <v>28</v>
      </c>
      <c r="D451" t="s">
        <v>33</v>
      </c>
      <c r="E451" t="s">
        <v>14</v>
      </c>
      <c r="F451">
        <v>43</v>
      </c>
      <c r="G451">
        <v>7808</v>
      </c>
      <c r="H451">
        <v>1</v>
      </c>
      <c r="I451">
        <v>5</v>
      </c>
      <c r="J451" t="s">
        <v>15</v>
      </c>
      <c r="K451" t="s">
        <v>27</v>
      </c>
      <c r="L451" t="s">
        <v>25</v>
      </c>
    </row>
    <row r="452" spans="1:12" x14ac:dyDescent="0.2">
      <c r="A452">
        <v>451</v>
      </c>
      <c r="B452" s="1">
        <v>41401</v>
      </c>
      <c r="C452" t="s">
        <v>36</v>
      </c>
      <c r="D452" t="s">
        <v>37</v>
      </c>
      <c r="E452" t="s">
        <v>14</v>
      </c>
      <c r="F452">
        <v>56</v>
      </c>
      <c r="G452">
        <v>12291</v>
      </c>
      <c r="H452">
        <v>0</v>
      </c>
      <c r="I452">
        <v>1</v>
      </c>
      <c r="J452" t="s">
        <v>15</v>
      </c>
      <c r="K452" t="s">
        <v>32</v>
      </c>
      <c r="L452" t="s">
        <v>21</v>
      </c>
    </row>
    <row r="453" spans="1:12" x14ac:dyDescent="0.2">
      <c r="A453">
        <v>452</v>
      </c>
      <c r="B453" s="1">
        <v>42762</v>
      </c>
      <c r="C453" t="s">
        <v>28</v>
      </c>
      <c r="D453" t="s">
        <v>29</v>
      </c>
      <c r="E453" t="s">
        <v>24</v>
      </c>
      <c r="F453">
        <v>39</v>
      </c>
      <c r="G453">
        <v>19926</v>
      </c>
      <c r="H453">
        <v>12</v>
      </c>
      <c r="I453">
        <v>3</v>
      </c>
      <c r="J453" t="s">
        <v>20</v>
      </c>
      <c r="K453" t="s">
        <v>16</v>
      </c>
      <c r="L453" t="s">
        <v>17</v>
      </c>
    </row>
    <row r="454" spans="1:12" x14ac:dyDescent="0.2">
      <c r="A454">
        <v>453</v>
      </c>
      <c r="B454" s="1">
        <v>41103</v>
      </c>
      <c r="C454" t="s">
        <v>18</v>
      </c>
      <c r="D454" t="s">
        <v>19</v>
      </c>
      <c r="E454" t="s">
        <v>14</v>
      </c>
      <c r="F454">
        <v>30</v>
      </c>
      <c r="G454">
        <v>18982</v>
      </c>
      <c r="H454">
        <v>9</v>
      </c>
      <c r="I454">
        <v>4</v>
      </c>
      <c r="J454" t="s">
        <v>20</v>
      </c>
      <c r="K454" t="s">
        <v>32</v>
      </c>
      <c r="L454" t="s">
        <v>34</v>
      </c>
    </row>
    <row r="455" spans="1:12" x14ac:dyDescent="0.2">
      <c r="A455">
        <v>454</v>
      </c>
      <c r="B455" s="1">
        <v>44389</v>
      </c>
      <c r="C455" t="s">
        <v>22</v>
      </c>
      <c r="D455" t="s">
        <v>35</v>
      </c>
      <c r="E455" t="s">
        <v>14</v>
      </c>
      <c r="F455">
        <v>49</v>
      </c>
      <c r="G455">
        <v>19086</v>
      </c>
      <c r="H455">
        <v>14</v>
      </c>
      <c r="I455">
        <v>2</v>
      </c>
      <c r="J455" t="s">
        <v>15</v>
      </c>
      <c r="K455" t="s">
        <v>16</v>
      </c>
      <c r="L455" t="s">
        <v>34</v>
      </c>
    </row>
    <row r="456" spans="1:12" x14ac:dyDescent="0.2">
      <c r="A456">
        <v>455</v>
      </c>
      <c r="B456" s="1">
        <v>41374</v>
      </c>
      <c r="C456" t="s">
        <v>36</v>
      </c>
      <c r="D456" t="s">
        <v>42</v>
      </c>
      <c r="E456" t="s">
        <v>24</v>
      </c>
      <c r="F456">
        <v>37</v>
      </c>
      <c r="G456">
        <v>9928</v>
      </c>
      <c r="H456">
        <v>2</v>
      </c>
      <c r="I456">
        <v>5</v>
      </c>
      <c r="J456" t="s">
        <v>15</v>
      </c>
      <c r="K456" t="s">
        <v>27</v>
      </c>
      <c r="L456" t="s">
        <v>21</v>
      </c>
    </row>
    <row r="457" spans="1:12" x14ac:dyDescent="0.2">
      <c r="A457">
        <v>456</v>
      </c>
      <c r="B457" s="1">
        <v>41815</v>
      </c>
      <c r="C457" t="s">
        <v>12</v>
      </c>
      <c r="D457" t="s">
        <v>41</v>
      </c>
      <c r="E457" t="s">
        <v>14</v>
      </c>
      <c r="F457">
        <v>59</v>
      </c>
      <c r="G457">
        <v>7761</v>
      </c>
      <c r="H457">
        <v>8</v>
      </c>
      <c r="I457">
        <v>2</v>
      </c>
      <c r="J457" t="s">
        <v>20</v>
      </c>
      <c r="K457" t="s">
        <v>16</v>
      </c>
      <c r="L457" t="s">
        <v>25</v>
      </c>
    </row>
    <row r="458" spans="1:12" x14ac:dyDescent="0.2">
      <c r="A458">
        <v>457</v>
      </c>
      <c r="B458" s="1">
        <v>43580</v>
      </c>
      <c r="C458" t="s">
        <v>18</v>
      </c>
      <c r="D458" t="s">
        <v>26</v>
      </c>
      <c r="E458" t="s">
        <v>14</v>
      </c>
      <c r="F458">
        <v>35</v>
      </c>
      <c r="G458">
        <v>16124</v>
      </c>
      <c r="H458">
        <v>13</v>
      </c>
      <c r="I458">
        <v>2</v>
      </c>
      <c r="J458" t="s">
        <v>15</v>
      </c>
      <c r="K458" t="s">
        <v>27</v>
      </c>
      <c r="L458" t="s">
        <v>25</v>
      </c>
    </row>
    <row r="459" spans="1:12" x14ac:dyDescent="0.2">
      <c r="A459">
        <v>458</v>
      </c>
      <c r="B459" s="1">
        <v>44424</v>
      </c>
      <c r="C459" t="s">
        <v>30</v>
      </c>
      <c r="D459" t="s">
        <v>38</v>
      </c>
      <c r="E459" t="s">
        <v>14</v>
      </c>
      <c r="F459">
        <v>38</v>
      </c>
      <c r="G459">
        <v>4694</v>
      </c>
      <c r="H459">
        <v>7</v>
      </c>
      <c r="I459">
        <v>5</v>
      </c>
      <c r="J459" t="s">
        <v>20</v>
      </c>
      <c r="K459" t="s">
        <v>32</v>
      </c>
      <c r="L459" t="s">
        <v>17</v>
      </c>
    </row>
    <row r="460" spans="1:12" x14ac:dyDescent="0.2">
      <c r="A460">
        <v>459</v>
      </c>
      <c r="B460" s="1">
        <v>40920</v>
      </c>
      <c r="C460" t="s">
        <v>36</v>
      </c>
      <c r="D460" t="s">
        <v>42</v>
      </c>
      <c r="E460" t="s">
        <v>24</v>
      </c>
      <c r="F460">
        <v>54</v>
      </c>
      <c r="G460">
        <v>8625</v>
      </c>
      <c r="H460">
        <v>9</v>
      </c>
      <c r="I460">
        <v>4</v>
      </c>
      <c r="J460" t="s">
        <v>20</v>
      </c>
      <c r="K460" t="s">
        <v>27</v>
      </c>
      <c r="L460" t="s">
        <v>25</v>
      </c>
    </row>
    <row r="461" spans="1:12" x14ac:dyDescent="0.2">
      <c r="A461">
        <v>460</v>
      </c>
      <c r="B461" s="1">
        <v>41362</v>
      </c>
      <c r="C461" t="s">
        <v>28</v>
      </c>
      <c r="D461" t="s">
        <v>29</v>
      </c>
      <c r="E461" t="s">
        <v>14</v>
      </c>
      <c r="F461">
        <v>27</v>
      </c>
      <c r="G461">
        <v>15360</v>
      </c>
      <c r="H461">
        <v>0</v>
      </c>
      <c r="I461">
        <v>3</v>
      </c>
      <c r="J461" t="s">
        <v>20</v>
      </c>
      <c r="K461" t="s">
        <v>16</v>
      </c>
      <c r="L461" t="s">
        <v>25</v>
      </c>
    </row>
    <row r="462" spans="1:12" x14ac:dyDescent="0.2">
      <c r="A462">
        <v>461</v>
      </c>
      <c r="B462" s="1">
        <v>44759</v>
      </c>
      <c r="C462" t="s">
        <v>36</v>
      </c>
      <c r="D462" t="s">
        <v>37</v>
      </c>
      <c r="E462" t="s">
        <v>14</v>
      </c>
      <c r="F462">
        <v>37</v>
      </c>
      <c r="G462">
        <v>11488</v>
      </c>
      <c r="H462">
        <v>9</v>
      </c>
      <c r="I462">
        <v>2</v>
      </c>
      <c r="J462" t="s">
        <v>20</v>
      </c>
      <c r="K462" t="s">
        <v>27</v>
      </c>
      <c r="L462" t="s">
        <v>17</v>
      </c>
    </row>
    <row r="463" spans="1:12" x14ac:dyDescent="0.2">
      <c r="A463">
        <v>462</v>
      </c>
      <c r="B463" s="1">
        <v>44179</v>
      </c>
      <c r="C463" t="s">
        <v>30</v>
      </c>
      <c r="D463" t="s">
        <v>31</v>
      </c>
      <c r="E463" t="s">
        <v>14</v>
      </c>
      <c r="F463">
        <v>33</v>
      </c>
      <c r="G463">
        <v>10553</v>
      </c>
      <c r="H463">
        <v>8</v>
      </c>
      <c r="I463">
        <v>5</v>
      </c>
      <c r="J463" t="s">
        <v>15</v>
      </c>
      <c r="K463" t="s">
        <v>32</v>
      </c>
      <c r="L463" t="s">
        <v>34</v>
      </c>
    </row>
    <row r="464" spans="1:12" x14ac:dyDescent="0.2">
      <c r="A464">
        <v>463</v>
      </c>
      <c r="B464" s="1">
        <v>44574</v>
      </c>
      <c r="C464" t="s">
        <v>36</v>
      </c>
      <c r="D464" t="s">
        <v>40</v>
      </c>
      <c r="E464" t="s">
        <v>14</v>
      </c>
      <c r="F464">
        <v>44</v>
      </c>
      <c r="G464">
        <v>6239</v>
      </c>
      <c r="H464">
        <v>13</v>
      </c>
      <c r="I464">
        <v>1</v>
      </c>
      <c r="J464" t="s">
        <v>20</v>
      </c>
      <c r="K464" t="s">
        <v>27</v>
      </c>
      <c r="L464" t="s">
        <v>17</v>
      </c>
    </row>
    <row r="465" spans="1:12" x14ac:dyDescent="0.2">
      <c r="A465">
        <v>464</v>
      </c>
      <c r="B465" s="1">
        <v>43592</v>
      </c>
      <c r="C465" t="s">
        <v>22</v>
      </c>
      <c r="D465" t="s">
        <v>23</v>
      </c>
      <c r="E465" t="s">
        <v>14</v>
      </c>
      <c r="F465">
        <v>28</v>
      </c>
      <c r="G465">
        <v>6778</v>
      </c>
      <c r="H465">
        <v>4</v>
      </c>
      <c r="I465">
        <v>2</v>
      </c>
      <c r="J465" t="s">
        <v>15</v>
      </c>
      <c r="K465" t="s">
        <v>32</v>
      </c>
      <c r="L465" t="s">
        <v>17</v>
      </c>
    </row>
    <row r="466" spans="1:12" x14ac:dyDescent="0.2">
      <c r="A466">
        <v>465</v>
      </c>
      <c r="B466" s="1">
        <v>44226</v>
      </c>
      <c r="C466" t="s">
        <v>28</v>
      </c>
      <c r="D466" t="s">
        <v>33</v>
      </c>
      <c r="E466" t="s">
        <v>24</v>
      </c>
      <c r="F466">
        <v>42</v>
      </c>
      <c r="G466">
        <v>11508</v>
      </c>
      <c r="H466">
        <v>7</v>
      </c>
      <c r="I466">
        <v>3</v>
      </c>
      <c r="J466" t="s">
        <v>15</v>
      </c>
      <c r="K466" t="s">
        <v>16</v>
      </c>
      <c r="L466" t="s">
        <v>34</v>
      </c>
    </row>
    <row r="467" spans="1:12" x14ac:dyDescent="0.2">
      <c r="A467">
        <v>466</v>
      </c>
      <c r="B467" s="1">
        <v>41018</v>
      </c>
      <c r="C467" t="s">
        <v>12</v>
      </c>
      <c r="D467" t="s">
        <v>13</v>
      </c>
      <c r="E467" t="s">
        <v>24</v>
      </c>
      <c r="F467">
        <v>31</v>
      </c>
      <c r="G467">
        <v>13081</v>
      </c>
      <c r="H467">
        <v>7</v>
      </c>
      <c r="I467">
        <v>1</v>
      </c>
      <c r="J467" t="s">
        <v>20</v>
      </c>
      <c r="K467" t="s">
        <v>16</v>
      </c>
      <c r="L467" t="s">
        <v>21</v>
      </c>
    </row>
    <row r="468" spans="1:12" x14ac:dyDescent="0.2">
      <c r="A468">
        <v>467</v>
      </c>
      <c r="B468" s="1">
        <v>44977</v>
      </c>
      <c r="C468" t="s">
        <v>18</v>
      </c>
      <c r="D468" t="s">
        <v>19</v>
      </c>
      <c r="E468" t="s">
        <v>24</v>
      </c>
      <c r="F468">
        <v>28</v>
      </c>
      <c r="G468">
        <v>11808</v>
      </c>
      <c r="H468">
        <v>8</v>
      </c>
      <c r="I468">
        <v>4</v>
      </c>
      <c r="J468" t="s">
        <v>20</v>
      </c>
      <c r="K468" t="s">
        <v>27</v>
      </c>
      <c r="L468" t="s">
        <v>25</v>
      </c>
    </row>
    <row r="469" spans="1:12" x14ac:dyDescent="0.2">
      <c r="A469">
        <v>468</v>
      </c>
      <c r="B469" s="1">
        <v>41390</v>
      </c>
      <c r="C469" t="s">
        <v>30</v>
      </c>
      <c r="D469" t="s">
        <v>38</v>
      </c>
      <c r="E469" t="s">
        <v>24</v>
      </c>
      <c r="F469">
        <v>28</v>
      </c>
      <c r="G469">
        <v>4915</v>
      </c>
      <c r="H469">
        <v>8</v>
      </c>
      <c r="I469">
        <v>2</v>
      </c>
      <c r="J469" t="s">
        <v>20</v>
      </c>
      <c r="K469" t="s">
        <v>27</v>
      </c>
      <c r="L469" t="s">
        <v>34</v>
      </c>
    </row>
    <row r="470" spans="1:12" x14ac:dyDescent="0.2">
      <c r="A470">
        <v>469</v>
      </c>
      <c r="B470" s="1">
        <v>44732</v>
      </c>
      <c r="C470" t="s">
        <v>18</v>
      </c>
      <c r="D470" t="s">
        <v>19</v>
      </c>
      <c r="E470" t="s">
        <v>24</v>
      </c>
      <c r="F470">
        <v>45</v>
      </c>
      <c r="G470">
        <v>7468</v>
      </c>
      <c r="H470">
        <v>7</v>
      </c>
      <c r="I470">
        <v>5</v>
      </c>
      <c r="J470" t="s">
        <v>20</v>
      </c>
      <c r="K470" t="s">
        <v>16</v>
      </c>
      <c r="L470" t="s">
        <v>39</v>
      </c>
    </row>
    <row r="471" spans="1:12" x14ac:dyDescent="0.2">
      <c r="A471">
        <v>470</v>
      </c>
      <c r="B471" s="1">
        <v>42467</v>
      </c>
      <c r="C471" t="s">
        <v>30</v>
      </c>
      <c r="D471" t="s">
        <v>38</v>
      </c>
      <c r="E471" t="s">
        <v>14</v>
      </c>
      <c r="F471">
        <v>49</v>
      </c>
      <c r="G471">
        <v>7897</v>
      </c>
      <c r="H471">
        <v>5</v>
      </c>
      <c r="I471">
        <v>5</v>
      </c>
      <c r="J471" t="s">
        <v>20</v>
      </c>
      <c r="K471" t="s">
        <v>27</v>
      </c>
      <c r="L471" t="s">
        <v>25</v>
      </c>
    </row>
    <row r="472" spans="1:12" x14ac:dyDescent="0.2">
      <c r="A472">
        <v>471</v>
      </c>
      <c r="B472" s="1">
        <v>43679</v>
      </c>
      <c r="C472" t="s">
        <v>36</v>
      </c>
      <c r="D472" t="s">
        <v>37</v>
      </c>
      <c r="E472" t="s">
        <v>24</v>
      </c>
      <c r="F472">
        <v>38</v>
      </c>
      <c r="G472">
        <v>8272</v>
      </c>
      <c r="H472">
        <v>7</v>
      </c>
      <c r="I472">
        <v>2</v>
      </c>
      <c r="J472" t="s">
        <v>20</v>
      </c>
      <c r="K472" t="s">
        <v>27</v>
      </c>
      <c r="L472" t="s">
        <v>21</v>
      </c>
    </row>
    <row r="473" spans="1:12" x14ac:dyDescent="0.2">
      <c r="A473">
        <v>472</v>
      </c>
      <c r="B473" s="1">
        <v>40607</v>
      </c>
      <c r="C473" t="s">
        <v>18</v>
      </c>
      <c r="D473" t="s">
        <v>19</v>
      </c>
      <c r="E473" t="s">
        <v>14</v>
      </c>
      <c r="F473">
        <v>22</v>
      </c>
      <c r="G473">
        <v>18818</v>
      </c>
      <c r="H473">
        <v>6</v>
      </c>
      <c r="I473">
        <v>2</v>
      </c>
      <c r="J473" t="s">
        <v>15</v>
      </c>
      <c r="K473" t="s">
        <v>32</v>
      </c>
      <c r="L473" t="s">
        <v>17</v>
      </c>
    </row>
    <row r="474" spans="1:12" x14ac:dyDescent="0.2">
      <c r="A474">
        <v>473</v>
      </c>
      <c r="B474" s="1">
        <v>40379</v>
      </c>
      <c r="C474" t="s">
        <v>22</v>
      </c>
      <c r="D474" t="s">
        <v>35</v>
      </c>
      <c r="E474" t="s">
        <v>24</v>
      </c>
      <c r="F474">
        <v>46</v>
      </c>
      <c r="G474">
        <v>15249</v>
      </c>
      <c r="H474">
        <v>5</v>
      </c>
      <c r="I474">
        <v>5</v>
      </c>
      <c r="J474" t="s">
        <v>20</v>
      </c>
      <c r="K474" t="s">
        <v>16</v>
      </c>
      <c r="L474" t="s">
        <v>25</v>
      </c>
    </row>
    <row r="475" spans="1:12" x14ac:dyDescent="0.2">
      <c r="A475">
        <v>474</v>
      </c>
      <c r="B475" s="1">
        <v>45112</v>
      </c>
      <c r="C475" t="s">
        <v>22</v>
      </c>
      <c r="D475" t="s">
        <v>35</v>
      </c>
      <c r="E475" t="s">
        <v>24</v>
      </c>
      <c r="F475">
        <v>22</v>
      </c>
      <c r="G475">
        <v>5791</v>
      </c>
      <c r="H475">
        <v>4</v>
      </c>
      <c r="I475">
        <v>1</v>
      </c>
      <c r="J475" t="s">
        <v>15</v>
      </c>
      <c r="K475" t="s">
        <v>32</v>
      </c>
      <c r="L475" t="s">
        <v>21</v>
      </c>
    </row>
    <row r="476" spans="1:12" x14ac:dyDescent="0.2">
      <c r="A476">
        <v>475</v>
      </c>
      <c r="B476" s="1">
        <v>44427</v>
      </c>
      <c r="C476" t="s">
        <v>12</v>
      </c>
      <c r="D476" t="s">
        <v>13</v>
      </c>
      <c r="E476" t="s">
        <v>24</v>
      </c>
      <c r="F476">
        <v>32</v>
      </c>
      <c r="G476">
        <v>7233</v>
      </c>
      <c r="H476">
        <v>1</v>
      </c>
      <c r="I476">
        <v>5</v>
      </c>
      <c r="J476" t="s">
        <v>20</v>
      </c>
      <c r="K476" t="s">
        <v>16</v>
      </c>
      <c r="L476" t="s">
        <v>39</v>
      </c>
    </row>
    <row r="477" spans="1:12" x14ac:dyDescent="0.2">
      <c r="A477">
        <v>476</v>
      </c>
      <c r="B477" s="1">
        <v>41014</v>
      </c>
      <c r="C477" t="s">
        <v>22</v>
      </c>
      <c r="D477" t="s">
        <v>35</v>
      </c>
      <c r="E477" t="s">
        <v>14</v>
      </c>
      <c r="F477">
        <v>29</v>
      </c>
      <c r="G477">
        <v>19860</v>
      </c>
      <c r="H477">
        <v>5</v>
      </c>
      <c r="I477">
        <v>3</v>
      </c>
      <c r="J477" t="s">
        <v>20</v>
      </c>
      <c r="K477" t="s">
        <v>32</v>
      </c>
      <c r="L477" t="s">
        <v>21</v>
      </c>
    </row>
    <row r="478" spans="1:12" x14ac:dyDescent="0.2">
      <c r="A478">
        <v>477</v>
      </c>
      <c r="B478" s="1">
        <v>44350</v>
      </c>
      <c r="C478" t="s">
        <v>12</v>
      </c>
      <c r="D478" t="s">
        <v>41</v>
      </c>
      <c r="E478" t="s">
        <v>14</v>
      </c>
      <c r="F478">
        <v>52</v>
      </c>
      <c r="G478">
        <v>9371</v>
      </c>
      <c r="H478">
        <v>4</v>
      </c>
      <c r="I478">
        <v>5</v>
      </c>
      <c r="J478" t="s">
        <v>20</v>
      </c>
      <c r="K478" t="s">
        <v>16</v>
      </c>
      <c r="L478" t="s">
        <v>34</v>
      </c>
    </row>
    <row r="479" spans="1:12" x14ac:dyDescent="0.2">
      <c r="A479">
        <v>478</v>
      </c>
      <c r="B479" s="1">
        <v>44244</v>
      </c>
      <c r="C479" t="s">
        <v>22</v>
      </c>
      <c r="D479" t="s">
        <v>35</v>
      </c>
      <c r="E479" t="s">
        <v>14</v>
      </c>
      <c r="F479">
        <v>50</v>
      </c>
      <c r="G479">
        <v>13549</v>
      </c>
      <c r="H479">
        <v>5</v>
      </c>
      <c r="I479">
        <v>5</v>
      </c>
      <c r="J479" t="s">
        <v>20</v>
      </c>
      <c r="K479" t="s">
        <v>27</v>
      </c>
      <c r="L479" t="s">
        <v>25</v>
      </c>
    </row>
    <row r="480" spans="1:12" x14ac:dyDescent="0.2">
      <c r="A480">
        <v>479</v>
      </c>
      <c r="B480" s="1">
        <v>41042</v>
      </c>
      <c r="C480" t="s">
        <v>36</v>
      </c>
      <c r="D480" t="s">
        <v>42</v>
      </c>
      <c r="E480" t="s">
        <v>24</v>
      </c>
      <c r="F480">
        <v>51</v>
      </c>
      <c r="G480">
        <v>6147</v>
      </c>
      <c r="H480">
        <v>11</v>
      </c>
      <c r="I480">
        <v>4</v>
      </c>
      <c r="J480" t="s">
        <v>20</v>
      </c>
      <c r="K480" t="s">
        <v>27</v>
      </c>
      <c r="L480" t="s">
        <v>21</v>
      </c>
    </row>
    <row r="481" spans="1:12" x14ac:dyDescent="0.2">
      <c r="A481">
        <v>480</v>
      </c>
      <c r="B481" s="1">
        <v>44979</v>
      </c>
      <c r="C481" t="s">
        <v>12</v>
      </c>
      <c r="D481" t="s">
        <v>41</v>
      </c>
      <c r="E481" t="s">
        <v>14</v>
      </c>
      <c r="F481">
        <v>50</v>
      </c>
      <c r="G481">
        <v>7651</v>
      </c>
      <c r="H481">
        <v>0</v>
      </c>
      <c r="I481">
        <v>4</v>
      </c>
      <c r="J481" t="s">
        <v>15</v>
      </c>
      <c r="K481" t="s">
        <v>16</v>
      </c>
      <c r="L481" t="s">
        <v>17</v>
      </c>
    </row>
    <row r="482" spans="1:12" x14ac:dyDescent="0.2">
      <c r="A482">
        <v>481</v>
      </c>
      <c r="B482" s="1">
        <v>44377</v>
      </c>
      <c r="C482" t="s">
        <v>28</v>
      </c>
      <c r="D482" t="s">
        <v>29</v>
      </c>
      <c r="E482" t="s">
        <v>14</v>
      </c>
      <c r="F482">
        <v>29</v>
      </c>
      <c r="G482">
        <v>14699</v>
      </c>
      <c r="H482">
        <v>14</v>
      </c>
      <c r="I482">
        <v>5</v>
      </c>
      <c r="J482" t="s">
        <v>20</v>
      </c>
      <c r="K482" t="s">
        <v>27</v>
      </c>
      <c r="L482" t="s">
        <v>39</v>
      </c>
    </row>
    <row r="483" spans="1:12" x14ac:dyDescent="0.2">
      <c r="A483">
        <v>482</v>
      </c>
      <c r="B483" s="1">
        <v>44930</v>
      </c>
      <c r="C483" t="s">
        <v>36</v>
      </c>
      <c r="D483" t="s">
        <v>42</v>
      </c>
      <c r="E483" t="s">
        <v>14</v>
      </c>
      <c r="F483">
        <v>51</v>
      </c>
      <c r="G483">
        <v>16335</v>
      </c>
      <c r="H483">
        <v>5</v>
      </c>
      <c r="I483">
        <v>4</v>
      </c>
      <c r="J483" t="s">
        <v>15</v>
      </c>
      <c r="K483" t="s">
        <v>16</v>
      </c>
      <c r="L483" t="s">
        <v>17</v>
      </c>
    </row>
    <row r="484" spans="1:12" x14ac:dyDescent="0.2">
      <c r="A484">
        <v>483</v>
      </c>
      <c r="B484" s="1">
        <v>40720</v>
      </c>
      <c r="C484" t="s">
        <v>22</v>
      </c>
      <c r="D484" t="s">
        <v>35</v>
      </c>
      <c r="E484" t="s">
        <v>14</v>
      </c>
      <c r="F484">
        <v>41</v>
      </c>
      <c r="G484">
        <v>12187</v>
      </c>
      <c r="H484">
        <v>15</v>
      </c>
      <c r="I484">
        <v>1</v>
      </c>
      <c r="J484" t="s">
        <v>15</v>
      </c>
      <c r="K484" t="s">
        <v>16</v>
      </c>
      <c r="L484" t="s">
        <v>17</v>
      </c>
    </row>
    <row r="485" spans="1:12" x14ac:dyDescent="0.2">
      <c r="A485">
        <v>484</v>
      </c>
      <c r="B485" s="1">
        <v>42024</v>
      </c>
      <c r="C485" t="s">
        <v>28</v>
      </c>
      <c r="D485" t="s">
        <v>33</v>
      </c>
      <c r="E485" t="s">
        <v>14</v>
      </c>
      <c r="F485">
        <v>26</v>
      </c>
      <c r="G485">
        <v>5044</v>
      </c>
      <c r="H485">
        <v>3</v>
      </c>
      <c r="I485">
        <v>3</v>
      </c>
      <c r="J485" t="s">
        <v>20</v>
      </c>
      <c r="K485" t="s">
        <v>16</v>
      </c>
      <c r="L485" t="s">
        <v>25</v>
      </c>
    </row>
    <row r="486" spans="1:12" x14ac:dyDescent="0.2">
      <c r="A486">
        <v>485</v>
      </c>
      <c r="B486" s="1">
        <v>44553</v>
      </c>
      <c r="C486" t="s">
        <v>12</v>
      </c>
      <c r="D486" t="s">
        <v>13</v>
      </c>
      <c r="E486" t="s">
        <v>14</v>
      </c>
      <c r="F486">
        <v>22</v>
      </c>
      <c r="G486">
        <v>6783</v>
      </c>
      <c r="H486">
        <v>11</v>
      </c>
      <c r="I486">
        <v>4</v>
      </c>
      <c r="J486" t="s">
        <v>20</v>
      </c>
      <c r="K486" t="s">
        <v>32</v>
      </c>
      <c r="L486" t="s">
        <v>34</v>
      </c>
    </row>
    <row r="487" spans="1:12" x14ac:dyDescent="0.2">
      <c r="A487">
        <v>486</v>
      </c>
      <c r="B487" s="1">
        <v>44199</v>
      </c>
      <c r="C487" t="s">
        <v>28</v>
      </c>
      <c r="D487" t="s">
        <v>29</v>
      </c>
      <c r="E487" t="s">
        <v>24</v>
      </c>
      <c r="F487">
        <v>39</v>
      </c>
      <c r="G487">
        <v>15711</v>
      </c>
      <c r="H487">
        <v>11</v>
      </c>
      <c r="I487">
        <v>2</v>
      </c>
      <c r="J487" t="s">
        <v>15</v>
      </c>
      <c r="K487" t="s">
        <v>16</v>
      </c>
      <c r="L487" t="s">
        <v>21</v>
      </c>
    </row>
    <row r="488" spans="1:12" x14ac:dyDescent="0.2">
      <c r="A488">
        <v>487</v>
      </c>
      <c r="B488" s="1">
        <v>43257</v>
      </c>
      <c r="C488" t="s">
        <v>18</v>
      </c>
      <c r="D488" t="s">
        <v>19</v>
      </c>
      <c r="E488" t="s">
        <v>24</v>
      </c>
      <c r="F488">
        <v>41</v>
      </c>
      <c r="G488">
        <v>9501</v>
      </c>
      <c r="H488">
        <v>4</v>
      </c>
      <c r="I488">
        <v>3</v>
      </c>
      <c r="J488" t="s">
        <v>20</v>
      </c>
      <c r="K488" t="s">
        <v>27</v>
      </c>
      <c r="L488" t="s">
        <v>39</v>
      </c>
    </row>
    <row r="489" spans="1:12" x14ac:dyDescent="0.2">
      <c r="A489">
        <v>488</v>
      </c>
      <c r="B489" s="1">
        <v>44096</v>
      </c>
      <c r="C489" t="s">
        <v>22</v>
      </c>
      <c r="D489" t="s">
        <v>23</v>
      </c>
      <c r="E489" t="s">
        <v>14</v>
      </c>
      <c r="F489">
        <v>41</v>
      </c>
      <c r="G489">
        <v>9349</v>
      </c>
      <c r="H489">
        <v>12</v>
      </c>
      <c r="I489">
        <v>4</v>
      </c>
      <c r="J489" t="s">
        <v>20</v>
      </c>
      <c r="K489" t="s">
        <v>27</v>
      </c>
      <c r="L489" t="s">
        <v>25</v>
      </c>
    </row>
    <row r="490" spans="1:12" x14ac:dyDescent="0.2">
      <c r="A490">
        <v>489</v>
      </c>
      <c r="B490" s="1">
        <v>42642</v>
      </c>
      <c r="C490" t="s">
        <v>18</v>
      </c>
      <c r="D490" t="s">
        <v>19</v>
      </c>
      <c r="E490" t="s">
        <v>24</v>
      </c>
      <c r="F490">
        <v>60</v>
      </c>
      <c r="G490">
        <v>4897</v>
      </c>
      <c r="H490">
        <v>13</v>
      </c>
      <c r="I490">
        <v>5</v>
      </c>
      <c r="J490" t="s">
        <v>20</v>
      </c>
      <c r="K490" t="s">
        <v>32</v>
      </c>
      <c r="L490" t="s">
        <v>17</v>
      </c>
    </row>
    <row r="491" spans="1:12" x14ac:dyDescent="0.2">
      <c r="A491">
        <v>490</v>
      </c>
      <c r="B491" s="1">
        <v>42114</v>
      </c>
      <c r="C491" t="s">
        <v>28</v>
      </c>
      <c r="D491" t="s">
        <v>29</v>
      </c>
      <c r="E491" t="s">
        <v>14</v>
      </c>
      <c r="F491">
        <v>56</v>
      </c>
      <c r="G491">
        <v>7244</v>
      </c>
      <c r="H491">
        <v>13</v>
      </c>
      <c r="I491">
        <v>1</v>
      </c>
      <c r="J491" t="s">
        <v>20</v>
      </c>
      <c r="K491" t="s">
        <v>16</v>
      </c>
      <c r="L491" t="s">
        <v>21</v>
      </c>
    </row>
    <row r="492" spans="1:12" x14ac:dyDescent="0.2">
      <c r="A492">
        <v>491</v>
      </c>
      <c r="B492" s="1">
        <v>42146</v>
      </c>
      <c r="C492" t="s">
        <v>12</v>
      </c>
      <c r="D492" t="s">
        <v>13</v>
      </c>
      <c r="E492" t="s">
        <v>14</v>
      </c>
      <c r="F492">
        <v>59</v>
      </c>
      <c r="G492">
        <v>7279</v>
      </c>
      <c r="H492">
        <v>12</v>
      </c>
      <c r="I492">
        <v>4</v>
      </c>
      <c r="J492" t="s">
        <v>20</v>
      </c>
      <c r="K492" t="s">
        <v>27</v>
      </c>
      <c r="L492" t="s">
        <v>25</v>
      </c>
    </row>
    <row r="493" spans="1:12" x14ac:dyDescent="0.2">
      <c r="A493">
        <v>492</v>
      </c>
      <c r="B493" s="1">
        <v>41145</v>
      </c>
      <c r="C493" t="s">
        <v>18</v>
      </c>
      <c r="D493" t="s">
        <v>19</v>
      </c>
      <c r="E493" t="s">
        <v>14</v>
      </c>
      <c r="F493">
        <v>42</v>
      </c>
      <c r="G493">
        <v>13478</v>
      </c>
      <c r="H493">
        <v>9</v>
      </c>
      <c r="I493">
        <v>1</v>
      </c>
      <c r="J493" t="s">
        <v>20</v>
      </c>
      <c r="K493" t="s">
        <v>16</v>
      </c>
      <c r="L493" t="s">
        <v>34</v>
      </c>
    </row>
    <row r="494" spans="1:12" x14ac:dyDescent="0.2">
      <c r="A494">
        <v>493</v>
      </c>
      <c r="B494" s="1">
        <v>41975</v>
      </c>
      <c r="C494" t="s">
        <v>12</v>
      </c>
      <c r="D494" t="s">
        <v>41</v>
      </c>
      <c r="E494" t="s">
        <v>24</v>
      </c>
      <c r="F494">
        <v>51</v>
      </c>
      <c r="G494">
        <v>8623</v>
      </c>
      <c r="H494">
        <v>8</v>
      </c>
      <c r="I494">
        <v>3</v>
      </c>
      <c r="J494" t="s">
        <v>15</v>
      </c>
      <c r="K494" t="s">
        <v>16</v>
      </c>
      <c r="L494" t="s">
        <v>34</v>
      </c>
    </row>
    <row r="495" spans="1:12" x14ac:dyDescent="0.2">
      <c r="A495">
        <v>494</v>
      </c>
      <c r="B495" s="1">
        <v>45045</v>
      </c>
      <c r="C495" t="s">
        <v>12</v>
      </c>
      <c r="D495" t="s">
        <v>41</v>
      </c>
      <c r="E495" t="s">
        <v>14</v>
      </c>
      <c r="F495">
        <v>40</v>
      </c>
      <c r="G495">
        <v>11185</v>
      </c>
      <c r="H495">
        <v>14</v>
      </c>
      <c r="I495">
        <v>4</v>
      </c>
      <c r="J495" t="s">
        <v>15</v>
      </c>
      <c r="K495" t="s">
        <v>27</v>
      </c>
      <c r="L495" t="s">
        <v>21</v>
      </c>
    </row>
    <row r="496" spans="1:12" x14ac:dyDescent="0.2">
      <c r="A496">
        <v>495</v>
      </c>
      <c r="B496" s="1">
        <v>43227</v>
      </c>
      <c r="C496" t="s">
        <v>12</v>
      </c>
      <c r="D496" t="s">
        <v>13</v>
      </c>
      <c r="E496" t="s">
        <v>14</v>
      </c>
      <c r="F496">
        <v>31</v>
      </c>
      <c r="G496">
        <v>12263</v>
      </c>
      <c r="H496">
        <v>8</v>
      </c>
      <c r="I496">
        <v>3</v>
      </c>
      <c r="J496" t="s">
        <v>15</v>
      </c>
      <c r="K496" t="s">
        <v>16</v>
      </c>
      <c r="L496" t="s">
        <v>34</v>
      </c>
    </row>
    <row r="497" spans="1:12" x14ac:dyDescent="0.2">
      <c r="A497">
        <v>496</v>
      </c>
      <c r="B497" s="1">
        <v>44420</v>
      </c>
      <c r="C497" t="s">
        <v>12</v>
      </c>
      <c r="D497" t="s">
        <v>41</v>
      </c>
      <c r="E497" t="s">
        <v>24</v>
      </c>
      <c r="F497">
        <v>31</v>
      </c>
      <c r="G497">
        <v>10448</v>
      </c>
      <c r="H497">
        <v>10</v>
      </c>
      <c r="I497">
        <v>1</v>
      </c>
      <c r="J497" t="s">
        <v>20</v>
      </c>
      <c r="K497" t="s">
        <v>27</v>
      </c>
      <c r="L497" t="s">
        <v>34</v>
      </c>
    </row>
    <row r="498" spans="1:12" x14ac:dyDescent="0.2">
      <c r="A498">
        <v>497</v>
      </c>
      <c r="B498" s="1">
        <v>44850</v>
      </c>
      <c r="C498" t="s">
        <v>30</v>
      </c>
      <c r="D498" t="s">
        <v>31</v>
      </c>
      <c r="E498" t="s">
        <v>24</v>
      </c>
      <c r="F498">
        <v>34</v>
      </c>
      <c r="G498">
        <v>17738</v>
      </c>
      <c r="H498">
        <v>0</v>
      </c>
      <c r="I498">
        <v>4</v>
      </c>
      <c r="J498" t="s">
        <v>15</v>
      </c>
      <c r="K498" t="s">
        <v>27</v>
      </c>
      <c r="L498" t="s">
        <v>34</v>
      </c>
    </row>
    <row r="499" spans="1:12" x14ac:dyDescent="0.2">
      <c r="A499">
        <v>498</v>
      </c>
      <c r="B499" s="1">
        <v>44394</v>
      </c>
      <c r="C499" t="s">
        <v>36</v>
      </c>
      <c r="D499" t="s">
        <v>40</v>
      </c>
      <c r="E499" t="s">
        <v>14</v>
      </c>
      <c r="F499">
        <v>38</v>
      </c>
      <c r="G499">
        <v>10439</v>
      </c>
      <c r="H499">
        <v>6</v>
      </c>
      <c r="I499">
        <v>3</v>
      </c>
      <c r="J499" t="s">
        <v>20</v>
      </c>
      <c r="K499" t="s">
        <v>27</v>
      </c>
      <c r="L499" t="s">
        <v>17</v>
      </c>
    </row>
    <row r="500" spans="1:12" x14ac:dyDescent="0.2">
      <c r="A500">
        <v>499</v>
      </c>
      <c r="B500" s="1">
        <v>41844</v>
      </c>
      <c r="C500" t="s">
        <v>22</v>
      </c>
      <c r="D500" t="s">
        <v>35</v>
      </c>
      <c r="E500" t="s">
        <v>14</v>
      </c>
      <c r="F500">
        <v>39</v>
      </c>
      <c r="G500">
        <v>4932</v>
      </c>
      <c r="H500">
        <v>4</v>
      </c>
      <c r="I500">
        <v>1</v>
      </c>
      <c r="J500" t="s">
        <v>15</v>
      </c>
      <c r="K500" t="s">
        <v>32</v>
      </c>
      <c r="L500" t="s">
        <v>21</v>
      </c>
    </row>
    <row r="501" spans="1:12" x14ac:dyDescent="0.2">
      <c r="A501">
        <v>500</v>
      </c>
      <c r="B501" s="1">
        <v>41087</v>
      </c>
      <c r="C501" t="s">
        <v>30</v>
      </c>
      <c r="D501" t="s">
        <v>31</v>
      </c>
      <c r="E501" t="s">
        <v>14</v>
      </c>
      <c r="F501">
        <v>27</v>
      </c>
      <c r="G501">
        <v>15440</v>
      </c>
      <c r="H501">
        <v>6</v>
      </c>
      <c r="I501">
        <v>3</v>
      </c>
      <c r="J501" t="s">
        <v>20</v>
      </c>
      <c r="K501" t="s">
        <v>32</v>
      </c>
      <c r="L501" t="s">
        <v>21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CB43A-1D21-4588-AB4B-BE8649674191}">
  <dimension ref="A3:B10"/>
  <sheetViews>
    <sheetView workbookViewId="0">
      <selection activeCell="K16" sqref="K16"/>
    </sheetView>
  </sheetViews>
  <sheetFormatPr defaultRowHeight="14.25" x14ac:dyDescent="0.2"/>
  <cols>
    <col min="1" max="1" width="13.125" bestFit="1" customWidth="1"/>
    <col min="2" max="2" width="19.75" bestFit="1" customWidth="1"/>
  </cols>
  <sheetData>
    <row r="3" spans="1:2" x14ac:dyDescent="0.2">
      <c r="A3" s="3" t="s">
        <v>56</v>
      </c>
      <c r="B3" t="s">
        <v>58</v>
      </c>
    </row>
    <row r="4" spans="1:2" x14ac:dyDescent="0.2">
      <c r="A4" s="4" t="s">
        <v>18</v>
      </c>
      <c r="B4" s="8">
        <v>93</v>
      </c>
    </row>
    <row r="5" spans="1:2" x14ac:dyDescent="0.2">
      <c r="A5" s="4" t="s">
        <v>30</v>
      </c>
      <c r="B5" s="8">
        <v>84</v>
      </c>
    </row>
    <row r="6" spans="1:2" x14ac:dyDescent="0.2">
      <c r="A6" s="4" t="s">
        <v>36</v>
      </c>
      <c r="B6" s="8">
        <v>79</v>
      </c>
    </row>
    <row r="7" spans="1:2" x14ac:dyDescent="0.2">
      <c r="A7" s="4" t="s">
        <v>28</v>
      </c>
      <c r="B7" s="8">
        <v>81</v>
      </c>
    </row>
    <row r="8" spans="1:2" x14ac:dyDescent="0.2">
      <c r="A8" s="4" t="s">
        <v>22</v>
      </c>
      <c r="B8" s="8">
        <v>72</v>
      </c>
    </row>
    <row r="9" spans="1:2" x14ac:dyDescent="0.2">
      <c r="A9" s="4" t="s">
        <v>12</v>
      </c>
      <c r="B9" s="8">
        <v>91</v>
      </c>
    </row>
    <row r="10" spans="1:2" x14ac:dyDescent="0.2">
      <c r="A10" s="4" t="s">
        <v>57</v>
      </c>
      <c r="B10" s="8">
        <v>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E3B2E-7CF5-4AE1-BD08-F319E39BBE65}">
  <dimension ref="A3:B10"/>
  <sheetViews>
    <sheetView workbookViewId="0">
      <selection activeCell="H7" sqref="H7"/>
    </sheetView>
  </sheetViews>
  <sheetFormatPr defaultRowHeight="14.25" x14ac:dyDescent="0.2"/>
  <cols>
    <col min="1" max="1" width="13.125" bestFit="1" customWidth="1"/>
    <col min="2" max="2" width="23.25" bestFit="1" customWidth="1"/>
  </cols>
  <sheetData>
    <row r="3" spans="1:2" x14ac:dyDescent="0.2">
      <c r="A3" s="3" t="s">
        <v>56</v>
      </c>
      <c r="B3" t="s">
        <v>59</v>
      </c>
    </row>
    <row r="4" spans="1:2" x14ac:dyDescent="0.2">
      <c r="A4" s="4" t="s">
        <v>18</v>
      </c>
      <c r="B4" s="5">
        <v>147421.93548387097</v>
      </c>
    </row>
    <row r="5" spans="1:2" x14ac:dyDescent="0.2">
      <c r="A5" s="4" t="s">
        <v>30</v>
      </c>
      <c r="B5" s="5">
        <v>141493.42857142858</v>
      </c>
    </row>
    <row r="6" spans="1:2" x14ac:dyDescent="0.2">
      <c r="A6" s="4" t="s">
        <v>36</v>
      </c>
      <c r="B6" s="5">
        <v>146147.54430379748</v>
      </c>
    </row>
    <row r="7" spans="1:2" x14ac:dyDescent="0.2">
      <c r="A7" s="4" t="s">
        <v>28</v>
      </c>
      <c r="B7" s="5">
        <v>140156</v>
      </c>
    </row>
    <row r="8" spans="1:2" x14ac:dyDescent="0.2">
      <c r="A8" s="4" t="s">
        <v>22</v>
      </c>
      <c r="B8" s="5">
        <v>150629.33333333334</v>
      </c>
    </row>
    <row r="9" spans="1:2" x14ac:dyDescent="0.2">
      <c r="A9" s="4" t="s">
        <v>12</v>
      </c>
      <c r="B9" s="5">
        <v>141845.8021978022</v>
      </c>
    </row>
    <row r="10" spans="1:2" x14ac:dyDescent="0.2">
      <c r="A10" s="4" t="s">
        <v>57</v>
      </c>
      <c r="B10" s="5">
        <v>144494.51999999999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3A0B7-EC1E-4AE2-B46C-45D6391B9472}">
  <dimension ref="A3:B7"/>
  <sheetViews>
    <sheetView workbookViewId="0">
      <selection activeCell="A3" sqref="A3"/>
    </sheetView>
  </sheetViews>
  <sheetFormatPr defaultRowHeight="14.25" x14ac:dyDescent="0.2"/>
  <cols>
    <col min="1" max="1" width="13.125" bestFit="1" customWidth="1"/>
    <col min="2" max="2" width="19.75" bestFit="1" customWidth="1"/>
  </cols>
  <sheetData>
    <row r="3" spans="1:2" x14ac:dyDescent="0.2">
      <c r="A3" s="3" t="s">
        <v>56</v>
      </c>
      <c r="B3" t="s">
        <v>58</v>
      </c>
    </row>
    <row r="4" spans="1:2" x14ac:dyDescent="0.2">
      <c r="A4" s="4" t="s">
        <v>53</v>
      </c>
      <c r="B4" s="8">
        <v>207</v>
      </c>
    </row>
    <row r="5" spans="1:2" x14ac:dyDescent="0.2">
      <c r="A5" s="4" t="s">
        <v>51</v>
      </c>
      <c r="B5" s="8">
        <v>213</v>
      </c>
    </row>
    <row r="6" spans="1:2" x14ac:dyDescent="0.2">
      <c r="A6" s="4" t="s">
        <v>55</v>
      </c>
      <c r="B6" s="8">
        <v>80</v>
      </c>
    </row>
    <row r="7" spans="1:2" x14ac:dyDescent="0.2">
      <c r="A7" s="4" t="s">
        <v>57</v>
      </c>
      <c r="B7" s="8">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AAB32-0B4C-43FF-BDB4-FAB17FEDA00B}">
  <dimension ref="A3:B7"/>
  <sheetViews>
    <sheetView workbookViewId="0">
      <selection activeCell="B3" sqref="B3"/>
    </sheetView>
  </sheetViews>
  <sheetFormatPr defaultRowHeight="14.25" x14ac:dyDescent="0.2"/>
  <cols>
    <col min="1" max="1" width="13.125" bestFit="1" customWidth="1"/>
    <col min="2" max="2" width="19.75" bestFit="1" customWidth="1"/>
  </cols>
  <sheetData>
    <row r="3" spans="1:2" x14ac:dyDescent="0.2">
      <c r="A3" s="3" t="s">
        <v>56</v>
      </c>
      <c r="B3" t="s">
        <v>58</v>
      </c>
    </row>
    <row r="4" spans="1:2" x14ac:dyDescent="0.2">
      <c r="A4" s="4" t="s">
        <v>27</v>
      </c>
      <c r="B4" s="8">
        <v>157</v>
      </c>
    </row>
    <row r="5" spans="1:2" x14ac:dyDescent="0.2">
      <c r="A5" s="4" t="s">
        <v>32</v>
      </c>
      <c r="B5" s="8">
        <v>176</v>
      </c>
    </row>
    <row r="6" spans="1:2" x14ac:dyDescent="0.2">
      <c r="A6" s="4" t="s">
        <v>16</v>
      </c>
      <c r="B6" s="8">
        <v>167</v>
      </c>
    </row>
    <row r="7" spans="1:2" x14ac:dyDescent="0.2">
      <c r="A7" s="4" t="s">
        <v>57</v>
      </c>
      <c r="B7" s="8">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4F4A5-1FA0-4F4E-8A07-70DB281B638E}">
  <dimension ref="A3:D11"/>
  <sheetViews>
    <sheetView workbookViewId="0">
      <selection activeCell="C5" sqref="C5"/>
    </sheetView>
  </sheetViews>
  <sheetFormatPr defaultRowHeight="14.25" x14ac:dyDescent="0.2"/>
  <cols>
    <col min="1" max="1" width="19.75" bestFit="1" customWidth="1"/>
    <col min="2" max="2" width="16.125" bestFit="1" customWidth="1"/>
    <col min="3" max="3" width="4.25" bestFit="1" customWidth="1"/>
    <col min="4" max="4" width="11.375" bestFit="1" customWidth="1"/>
  </cols>
  <sheetData>
    <row r="3" spans="1:4" x14ac:dyDescent="0.2">
      <c r="A3" s="3" t="s">
        <v>58</v>
      </c>
      <c r="B3" s="3" t="s">
        <v>60</v>
      </c>
    </row>
    <row r="4" spans="1:4" x14ac:dyDescent="0.2">
      <c r="A4" s="3" t="s">
        <v>56</v>
      </c>
      <c r="B4" t="s">
        <v>20</v>
      </c>
      <c r="C4" t="s">
        <v>15</v>
      </c>
      <c r="D4" t="s">
        <v>57</v>
      </c>
    </row>
    <row r="5" spans="1:4" x14ac:dyDescent="0.2">
      <c r="A5" s="4" t="s">
        <v>18</v>
      </c>
      <c r="B5" s="8">
        <v>49</v>
      </c>
      <c r="C5" s="8">
        <v>44</v>
      </c>
      <c r="D5" s="8">
        <v>93</v>
      </c>
    </row>
    <row r="6" spans="1:4" x14ac:dyDescent="0.2">
      <c r="A6" s="4" t="s">
        <v>30</v>
      </c>
      <c r="B6" s="8">
        <v>41</v>
      </c>
      <c r="C6" s="8">
        <v>43</v>
      </c>
      <c r="D6" s="8">
        <v>84</v>
      </c>
    </row>
    <row r="7" spans="1:4" x14ac:dyDescent="0.2">
      <c r="A7" s="4" t="s">
        <v>36</v>
      </c>
      <c r="B7" s="8">
        <v>38</v>
      </c>
      <c r="C7" s="8">
        <v>41</v>
      </c>
      <c r="D7" s="8">
        <v>79</v>
      </c>
    </row>
    <row r="8" spans="1:4" x14ac:dyDescent="0.2">
      <c r="A8" s="4" t="s">
        <v>28</v>
      </c>
      <c r="B8" s="8">
        <v>37</v>
      </c>
      <c r="C8" s="8">
        <v>44</v>
      </c>
      <c r="D8" s="8">
        <v>81</v>
      </c>
    </row>
    <row r="9" spans="1:4" x14ac:dyDescent="0.2">
      <c r="A9" s="4" t="s">
        <v>22</v>
      </c>
      <c r="B9" s="8">
        <v>43</v>
      </c>
      <c r="C9" s="8">
        <v>29</v>
      </c>
      <c r="D9" s="8">
        <v>72</v>
      </c>
    </row>
    <row r="10" spans="1:4" x14ac:dyDescent="0.2">
      <c r="A10" s="4" t="s">
        <v>12</v>
      </c>
      <c r="B10" s="8">
        <v>43</v>
      </c>
      <c r="C10" s="8">
        <v>48</v>
      </c>
      <c r="D10" s="8">
        <v>91</v>
      </c>
    </row>
    <row r="11" spans="1:4" x14ac:dyDescent="0.2">
      <c r="A11" s="4" t="s">
        <v>57</v>
      </c>
      <c r="B11" s="8">
        <v>251</v>
      </c>
      <c r="C11" s="8">
        <v>249</v>
      </c>
      <c r="D11" s="8">
        <v>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C7BA4-F6E1-496A-8AB5-441D1232A293}">
  <dimension ref="A3:F26"/>
  <sheetViews>
    <sheetView workbookViewId="0">
      <selection activeCell="B26" sqref="B26"/>
    </sheetView>
  </sheetViews>
  <sheetFormatPr defaultRowHeight="14.25" x14ac:dyDescent="0.2"/>
  <cols>
    <col min="1" max="1" width="14.5" bestFit="1" customWidth="1"/>
    <col min="2" max="2" width="21.5" bestFit="1" customWidth="1"/>
    <col min="3" max="3" width="13.125" bestFit="1" customWidth="1"/>
    <col min="4" max="4" width="21.5" bestFit="1" customWidth="1"/>
    <col min="5" max="5" width="13.125" bestFit="1" customWidth="1"/>
    <col min="6" max="6" width="21.5" bestFit="1" customWidth="1"/>
  </cols>
  <sheetData>
    <row r="3" spans="1:4" x14ac:dyDescent="0.2">
      <c r="A3" t="s">
        <v>63</v>
      </c>
      <c r="B3" t="s">
        <v>62</v>
      </c>
      <c r="C3" t="s">
        <v>61</v>
      </c>
    </row>
    <row r="4" spans="1:4" x14ac:dyDescent="0.2">
      <c r="A4" s="8">
        <v>500</v>
      </c>
      <c r="B4" s="5">
        <v>144494.51999999999</v>
      </c>
      <c r="C4" s="8">
        <v>2.9780000000000002</v>
      </c>
    </row>
    <row r="13" spans="1:4" x14ac:dyDescent="0.2">
      <c r="C13" s="3" t="s">
        <v>56</v>
      </c>
      <c r="D13" t="s">
        <v>64</v>
      </c>
    </row>
    <row r="14" spans="1:4" x14ac:dyDescent="0.2">
      <c r="C14" s="4" t="s">
        <v>20</v>
      </c>
      <c r="D14" s="6">
        <v>0.502</v>
      </c>
    </row>
    <row r="15" spans="1:4" x14ac:dyDescent="0.2">
      <c r="C15" s="4" t="s">
        <v>15</v>
      </c>
      <c r="D15" s="6">
        <v>0.498</v>
      </c>
    </row>
    <row r="16" spans="1:4" x14ac:dyDescent="0.2">
      <c r="C16" s="4" t="s">
        <v>57</v>
      </c>
      <c r="D16" s="6">
        <v>1</v>
      </c>
    </row>
    <row r="21" spans="1:6" ht="15" x14ac:dyDescent="0.25">
      <c r="A21" s="7" t="s">
        <v>65</v>
      </c>
      <c r="B21">
        <f>A4</f>
        <v>500</v>
      </c>
    </row>
    <row r="22" spans="1:6" ht="15" x14ac:dyDescent="0.25">
      <c r="A22" s="7" t="s">
        <v>66</v>
      </c>
      <c r="B22" s="5">
        <f>B4</f>
        <v>144494.51999999999</v>
      </c>
      <c r="E22" s="3" t="s">
        <v>56</v>
      </c>
      <c r="F22" t="s">
        <v>64</v>
      </c>
    </row>
    <row r="23" spans="1:6" ht="15" x14ac:dyDescent="0.25">
      <c r="A23" s="7" t="s">
        <v>61</v>
      </c>
      <c r="B23">
        <f>C4</f>
        <v>2.9780000000000002</v>
      </c>
      <c r="E23" s="4" t="s">
        <v>54</v>
      </c>
      <c r="F23" s="6">
        <v>0.19400000000000001</v>
      </c>
    </row>
    <row r="24" spans="1:6" ht="15" x14ac:dyDescent="0.25">
      <c r="A24" s="7" t="s">
        <v>67</v>
      </c>
      <c r="B24" s="6">
        <f>D15</f>
        <v>0.498</v>
      </c>
      <c r="E24" s="4" t="s">
        <v>50</v>
      </c>
      <c r="F24" s="6">
        <v>0.35</v>
      </c>
    </row>
    <row r="25" spans="1:6" ht="15" x14ac:dyDescent="0.25">
      <c r="A25" s="7" t="s">
        <v>68</v>
      </c>
      <c r="B25" s="6">
        <f>F25</f>
        <v>0.45600000000000002</v>
      </c>
      <c r="E25" s="4" t="s">
        <v>52</v>
      </c>
      <c r="F25" s="6">
        <v>0.45600000000000002</v>
      </c>
    </row>
    <row r="26" spans="1:6" x14ac:dyDescent="0.2">
      <c r="E26" s="4" t="s">
        <v>57</v>
      </c>
      <c r="F26" s="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63952-BF3A-4DA1-A593-DF77ACCC0A00}">
  <dimension ref="A1:P501"/>
  <sheetViews>
    <sheetView topLeftCell="A2" workbookViewId="0">
      <selection sqref="A1:N501"/>
    </sheetView>
  </sheetViews>
  <sheetFormatPr defaultRowHeight="14.25" x14ac:dyDescent="0.2"/>
  <cols>
    <col min="1" max="1" width="13.375" bestFit="1" customWidth="1"/>
    <col min="2" max="2" width="10.75" bestFit="1" customWidth="1"/>
    <col min="3" max="3" width="13.25" bestFit="1" customWidth="1"/>
    <col min="4" max="4" width="18.25" bestFit="1" customWidth="1"/>
    <col min="5" max="5" width="9.625" bestFit="1" customWidth="1"/>
    <col min="6" max="6" width="6.25" bestFit="1" customWidth="1"/>
    <col min="7" max="7" width="15.375" bestFit="1" customWidth="1"/>
    <col min="8" max="8" width="18" bestFit="1" customWidth="1"/>
    <col min="9" max="9" width="20.25" bestFit="1" customWidth="1"/>
    <col min="10" max="10" width="11.125" bestFit="1" customWidth="1"/>
    <col min="11" max="11" width="15.125" bestFit="1" customWidth="1"/>
    <col min="12" max="12" width="16.125" bestFit="1" customWidth="1"/>
    <col min="13" max="13" width="14.75" bestFit="1" customWidth="1"/>
    <col min="14" max="14" width="12.375" bestFit="1" customWidth="1"/>
    <col min="15" max="15" width="18.625" bestFit="1" customWidth="1"/>
    <col min="16" max="16" width="23" bestFit="1" customWidth="1"/>
  </cols>
  <sheetData>
    <row r="1" spans="1:16" x14ac:dyDescent="0.2">
      <c r="A1" t="s">
        <v>0</v>
      </c>
      <c r="B1" t="s">
        <v>1</v>
      </c>
      <c r="C1" t="s">
        <v>2</v>
      </c>
      <c r="D1" t="s">
        <v>3</v>
      </c>
      <c r="E1" t="s">
        <v>4</v>
      </c>
      <c r="F1" t="s">
        <v>5</v>
      </c>
      <c r="G1" t="s">
        <v>6</v>
      </c>
      <c r="H1" t="s">
        <v>7</v>
      </c>
      <c r="I1" t="s">
        <v>8</v>
      </c>
      <c r="J1" t="s">
        <v>9</v>
      </c>
      <c r="K1" t="s">
        <v>10</v>
      </c>
      <c r="L1" t="s">
        <v>11</v>
      </c>
      <c r="M1" t="s">
        <v>43</v>
      </c>
      <c r="N1" t="s">
        <v>44</v>
      </c>
      <c r="O1" t="s">
        <v>48</v>
      </c>
      <c r="P1" t="s">
        <v>49</v>
      </c>
    </row>
    <row r="2" spans="1:16" x14ac:dyDescent="0.2">
      <c r="A2">
        <v>1</v>
      </c>
      <c r="B2" s="2">
        <v>42198</v>
      </c>
      <c r="C2" t="s">
        <v>12</v>
      </c>
      <c r="D2" t="s">
        <v>13</v>
      </c>
      <c r="E2" t="s">
        <v>14</v>
      </c>
      <c r="F2">
        <v>22</v>
      </c>
      <c r="G2">
        <v>16057</v>
      </c>
      <c r="H2">
        <v>7</v>
      </c>
      <c r="I2">
        <v>1</v>
      </c>
      <c r="J2" t="s">
        <v>15</v>
      </c>
      <c r="K2" t="s">
        <v>16</v>
      </c>
      <c r="L2" t="s">
        <v>17</v>
      </c>
      <c r="M2">
        <v>192684</v>
      </c>
      <c r="N2" t="s">
        <v>45</v>
      </c>
      <c r="O2" t="s">
        <v>50</v>
      </c>
      <c r="P2" t="s">
        <v>51</v>
      </c>
    </row>
    <row r="3" spans="1:16" x14ac:dyDescent="0.2">
      <c r="A3">
        <v>2</v>
      </c>
      <c r="B3" s="2">
        <v>40596</v>
      </c>
      <c r="C3" t="s">
        <v>18</v>
      </c>
      <c r="D3" t="s">
        <v>19</v>
      </c>
      <c r="E3" t="s">
        <v>14</v>
      </c>
      <c r="F3">
        <v>36</v>
      </c>
      <c r="G3">
        <v>17387</v>
      </c>
      <c r="H3">
        <v>14</v>
      </c>
      <c r="I3">
        <v>2</v>
      </c>
      <c r="J3" t="s">
        <v>20</v>
      </c>
      <c r="K3" t="s">
        <v>16</v>
      </c>
      <c r="L3" t="s">
        <v>21</v>
      </c>
      <c r="M3">
        <v>208644</v>
      </c>
      <c r="N3" t="s">
        <v>46</v>
      </c>
      <c r="O3" t="s">
        <v>52</v>
      </c>
      <c r="P3" t="s">
        <v>51</v>
      </c>
    </row>
    <row r="4" spans="1:16" x14ac:dyDescent="0.2">
      <c r="A4">
        <v>3</v>
      </c>
      <c r="B4" s="2">
        <v>41974</v>
      </c>
      <c r="C4" t="s">
        <v>22</v>
      </c>
      <c r="D4" t="s">
        <v>23</v>
      </c>
      <c r="E4" t="s">
        <v>24</v>
      </c>
      <c r="F4">
        <v>23</v>
      </c>
      <c r="G4">
        <v>8731</v>
      </c>
      <c r="H4">
        <v>4</v>
      </c>
      <c r="I4">
        <v>4</v>
      </c>
      <c r="J4" t="s">
        <v>15</v>
      </c>
      <c r="K4" t="s">
        <v>16</v>
      </c>
      <c r="L4" t="s">
        <v>25</v>
      </c>
      <c r="M4">
        <v>104772</v>
      </c>
      <c r="N4" t="s">
        <v>45</v>
      </c>
      <c r="O4" t="s">
        <v>50</v>
      </c>
      <c r="P4" t="s">
        <v>53</v>
      </c>
    </row>
    <row r="5" spans="1:16" x14ac:dyDescent="0.2">
      <c r="A5">
        <v>4</v>
      </c>
      <c r="B5" s="2">
        <v>43340</v>
      </c>
      <c r="C5" t="s">
        <v>18</v>
      </c>
      <c r="D5" t="s">
        <v>26</v>
      </c>
      <c r="E5" t="s">
        <v>24</v>
      </c>
      <c r="F5">
        <v>26</v>
      </c>
      <c r="G5">
        <v>11380</v>
      </c>
      <c r="H5">
        <v>5</v>
      </c>
      <c r="I5">
        <v>2</v>
      </c>
      <c r="J5" t="s">
        <v>15</v>
      </c>
      <c r="K5" t="s">
        <v>27</v>
      </c>
      <c r="L5" t="s">
        <v>17</v>
      </c>
      <c r="M5">
        <v>136560</v>
      </c>
      <c r="N5" t="s">
        <v>45</v>
      </c>
      <c r="O5" t="s">
        <v>50</v>
      </c>
      <c r="P5" t="s">
        <v>51</v>
      </c>
    </row>
    <row r="6" spans="1:16" x14ac:dyDescent="0.2">
      <c r="A6">
        <v>5</v>
      </c>
      <c r="B6" s="2">
        <v>44833</v>
      </c>
      <c r="C6" t="s">
        <v>28</v>
      </c>
      <c r="D6" t="s">
        <v>29</v>
      </c>
      <c r="E6" t="s">
        <v>14</v>
      </c>
      <c r="F6">
        <v>55</v>
      </c>
      <c r="G6">
        <v>16289</v>
      </c>
      <c r="H6">
        <v>15</v>
      </c>
      <c r="I6">
        <v>5</v>
      </c>
      <c r="J6" t="s">
        <v>15</v>
      </c>
      <c r="K6" t="s">
        <v>27</v>
      </c>
      <c r="L6" t="s">
        <v>17</v>
      </c>
      <c r="M6">
        <v>195468</v>
      </c>
      <c r="N6" t="s">
        <v>47</v>
      </c>
      <c r="O6" t="s">
        <v>52</v>
      </c>
      <c r="P6" t="s">
        <v>53</v>
      </c>
    </row>
    <row r="7" spans="1:16" x14ac:dyDescent="0.2">
      <c r="A7">
        <v>6</v>
      </c>
      <c r="B7" s="2">
        <v>44548</v>
      </c>
      <c r="C7" t="s">
        <v>30</v>
      </c>
      <c r="D7" t="s">
        <v>31</v>
      </c>
      <c r="E7" t="s">
        <v>24</v>
      </c>
      <c r="F7">
        <v>54</v>
      </c>
      <c r="G7">
        <v>12162</v>
      </c>
      <c r="H7">
        <v>4</v>
      </c>
      <c r="I7">
        <v>1</v>
      </c>
      <c r="J7" t="s">
        <v>20</v>
      </c>
      <c r="K7" t="s">
        <v>32</v>
      </c>
      <c r="L7" t="s">
        <v>17</v>
      </c>
      <c r="M7">
        <v>145944</v>
      </c>
      <c r="N7" t="s">
        <v>47</v>
      </c>
      <c r="O7" t="s">
        <v>50</v>
      </c>
      <c r="P7" t="s">
        <v>51</v>
      </c>
    </row>
    <row r="8" spans="1:16" x14ac:dyDescent="0.2">
      <c r="A8">
        <v>7</v>
      </c>
      <c r="B8" s="2">
        <v>43466</v>
      </c>
      <c r="C8" t="s">
        <v>28</v>
      </c>
      <c r="D8" t="s">
        <v>33</v>
      </c>
      <c r="E8" t="s">
        <v>14</v>
      </c>
      <c r="F8">
        <v>59</v>
      </c>
      <c r="G8">
        <v>4448</v>
      </c>
      <c r="H8">
        <v>2</v>
      </c>
      <c r="I8">
        <v>1</v>
      </c>
      <c r="J8" t="s">
        <v>20</v>
      </c>
      <c r="K8" t="s">
        <v>16</v>
      </c>
      <c r="L8" t="s">
        <v>17</v>
      </c>
      <c r="M8">
        <v>53376</v>
      </c>
      <c r="N8" t="s">
        <v>47</v>
      </c>
      <c r="O8" t="s">
        <v>54</v>
      </c>
      <c r="P8" t="s">
        <v>51</v>
      </c>
    </row>
    <row r="9" spans="1:16" x14ac:dyDescent="0.2">
      <c r="A9">
        <v>8</v>
      </c>
      <c r="B9" s="2">
        <v>42430</v>
      </c>
      <c r="C9" t="s">
        <v>22</v>
      </c>
      <c r="D9" t="s">
        <v>23</v>
      </c>
      <c r="E9" t="s">
        <v>24</v>
      </c>
      <c r="F9">
        <v>51</v>
      </c>
      <c r="G9">
        <v>5927</v>
      </c>
      <c r="H9">
        <v>11</v>
      </c>
      <c r="I9">
        <v>2</v>
      </c>
      <c r="J9" t="s">
        <v>20</v>
      </c>
      <c r="K9" t="s">
        <v>27</v>
      </c>
      <c r="L9" t="s">
        <v>21</v>
      </c>
      <c r="M9">
        <v>71124</v>
      </c>
      <c r="N9" t="s">
        <v>47</v>
      </c>
      <c r="O9" t="s">
        <v>52</v>
      </c>
      <c r="P9" t="s">
        <v>51</v>
      </c>
    </row>
    <row r="10" spans="1:16" x14ac:dyDescent="0.2">
      <c r="A10">
        <v>9</v>
      </c>
      <c r="B10" s="2">
        <v>44892</v>
      </c>
      <c r="C10" t="s">
        <v>28</v>
      </c>
      <c r="D10" t="s">
        <v>33</v>
      </c>
      <c r="E10" t="s">
        <v>14</v>
      </c>
      <c r="F10">
        <v>50</v>
      </c>
      <c r="G10">
        <v>10137</v>
      </c>
      <c r="H10">
        <v>0</v>
      </c>
      <c r="I10">
        <v>4</v>
      </c>
      <c r="J10" t="s">
        <v>20</v>
      </c>
      <c r="K10" t="s">
        <v>32</v>
      </c>
      <c r="L10" t="s">
        <v>34</v>
      </c>
      <c r="M10">
        <v>121644</v>
      </c>
      <c r="N10" t="s">
        <v>47</v>
      </c>
      <c r="O10" t="s">
        <v>54</v>
      </c>
      <c r="P10" t="s">
        <v>53</v>
      </c>
    </row>
    <row r="11" spans="1:16" x14ac:dyDescent="0.2">
      <c r="A11">
        <v>10</v>
      </c>
      <c r="B11" s="2">
        <v>41103</v>
      </c>
      <c r="C11" t="s">
        <v>22</v>
      </c>
      <c r="D11" t="s">
        <v>35</v>
      </c>
      <c r="E11" t="s">
        <v>14</v>
      </c>
      <c r="F11">
        <v>26</v>
      </c>
      <c r="G11">
        <v>16303</v>
      </c>
      <c r="H11">
        <v>0</v>
      </c>
      <c r="I11">
        <v>5</v>
      </c>
      <c r="J11" t="s">
        <v>20</v>
      </c>
      <c r="K11" t="s">
        <v>27</v>
      </c>
      <c r="L11" t="s">
        <v>17</v>
      </c>
      <c r="M11">
        <v>195636</v>
      </c>
      <c r="N11" t="s">
        <v>45</v>
      </c>
      <c r="O11" t="s">
        <v>54</v>
      </c>
      <c r="P11" t="s">
        <v>53</v>
      </c>
    </row>
    <row r="12" spans="1:16" x14ac:dyDescent="0.2">
      <c r="A12">
        <v>11</v>
      </c>
      <c r="B12" s="2">
        <v>45048</v>
      </c>
      <c r="C12" t="s">
        <v>12</v>
      </c>
      <c r="D12" t="s">
        <v>13</v>
      </c>
      <c r="E12" t="s">
        <v>14</v>
      </c>
      <c r="F12">
        <v>27</v>
      </c>
      <c r="G12">
        <v>9012</v>
      </c>
      <c r="H12">
        <v>0</v>
      </c>
      <c r="I12">
        <v>1</v>
      </c>
      <c r="J12" t="s">
        <v>15</v>
      </c>
      <c r="K12" t="s">
        <v>16</v>
      </c>
      <c r="L12" t="s">
        <v>21</v>
      </c>
      <c r="M12">
        <v>108144</v>
      </c>
      <c r="N12" t="s">
        <v>45</v>
      </c>
      <c r="O12" t="s">
        <v>54</v>
      </c>
      <c r="P12" t="s">
        <v>51</v>
      </c>
    </row>
    <row r="13" spans="1:16" x14ac:dyDescent="0.2">
      <c r="A13">
        <v>12</v>
      </c>
      <c r="B13" s="2">
        <v>42114</v>
      </c>
      <c r="C13" t="s">
        <v>22</v>
      </c>
      <c r="D13" t="s">
        <v>35</v>
      </c>
      <c r="E13" t="s">
        <v>24</v>
      </c>
      <c r="F13">
        <v>24</v>
      </c>
      <c r="G13">
        <v>15012</v>
      </c>
      <c r="H13">
        <v>14</v>
      </c>
      <c r="I13">
        <v>1</v>
      </c>
      <c r="J13" t="s">
        <v>20</v>
      </c>
      <c r="K13" t="s">
        <v>16</v>
      </c>
      <c r="L13" t="s">
        <v>17</v>
      </c>
      <c r="M13">
        <v>180144</v>
      </c>
      <c r="N13" t="s">
        <v>45</v>
      </c>
      <c r="O13" t="s">
        <v>52</v>
      </c>
      <c r="P13" t="s">
        <v>51</v>
      </c>
    </row>
    <row r="14" spans="1:16" x14ac:dyDescent="0.2">
      <c r="A14">
        <v>13</v>
      </c>
      <c r="B14" s="2">
        <v>43330</v>
      </c>
      <c r="C14" t="s">
        <v>18</v>
      </c>
      <c r="D14" t="s">
        <v>26</v>
      </c>
      <c r="E14" t="s">
        <v>14</v>
      </c>
      <c r="F14">
        <v>42</v>
      </c>
      <c r="G14">
        <v>12305</v>
      </c>
      <c r="H14">
        <v>3</v>
      </c>
      <c r="I14">
        <v>4</v>
      </c>
      <c r="J14" t="s">
        <v>15</v>
      </c>
      <c r="K14" t="s">
        <v>32</v>
      </c>
      <c r="L14" t="s">
        <v>25</v>
      </c>
      <c r="M14">
        <v>147660</v>
      </c>
      <c r="N14" t="s">
        <v>46</v>
      </c>
      <c r="O14" t="s">
        <v>50</v>
      </c>
      <c r="P14" t="s">
        <v>53</v>
      </c>
    </row>
    <row r="15" spans="1:16" x14ac:dyDescent="0.2">
      <c r="A15">
        <v>14</v>
      </c>
      <c r="B15" s="2">
        <v>42144</v>
      </c>
      <c r="C15" t="s">
        <v>28</v>
      </c>
      <c r="D15" t="s">
        <v>29</v>
      </c>
      <c r="E15" t="s">
        <v>14</v>
      </c>
      <c r="F15">
        <v>41</v>
      </c>
      <c r="G15">
        <v>5545</v>
      </c>
      <c r="H15">
        <v>13</v>
      </c>
      <c r="I15">
        <v>5</v>
      </c>
      <c r="J15" t="s">
        <v>20</v>
      </c>
      <c r="K15" t="s">
        <v>27</v>
      </c>
      <c r="L15" t="s">
        <v>34</v>
      </c>
      <c r="M15">
        <v>66540</v>
      </c>
      <c r="N15" t="s">
        <v>46</v>
      </c>
      <c r="O15" t="s">
        <v>52</v>
      </c>
      <c r="P15" t="s">
        <v>53</v>
      </c>
    </row>
    <row r="16" spans="1:16" x14ac:dyDescent="0.2">
      <c r="A16">
        <v>15</v>
      </c>
      <c r="B16" s="2">
        <v>43753</v>
      </c>
      <c r="C16" t="s">
        <v>36</v>
      </c>
      <c r="D16" t="s">
        <v>37</v>
      </c>
      <c r="E16" t="s">
        <v>24</v>
      </c>
      <c r="F16">
        <v>46</v>
      </c>
      <c r="G16">
        <v>5189</v>
      </c>
      <c r="H16">
        <v>10</v>
      </c>
      <c r="I16">
        <v>3</v>
      </c>
      <c r="J16" t="s">
        <v>20</v>
      </c>
      <c r="K16" t="s">
        <v>16</v>
      </c>
      <c r="L16" t="s">
        <v>21</v>
      </c>
      <c r="M16">
        <v>62268</v>
      </c>
      <c r="N16" t="s">
        <v>47</v>
      </c>
      <c r="O16" t="s">
        <v>52</v>
      </c>
      <c r="P16" t="s">
        <v>55</v>
      </c>
    </row>
    <row r="17" spans="1:16" x14ac:dyDescent="0.2">
      <c r="A17">
        <v>16</v>
      </c>
      <c r="B17" s="2">
        <v>43652</v>
      </c>
      <c r="C17" t="s">
        <v>12</v>
      </c>
      <c r="D17" t="s">
        <v>13</v>
      </c>
      <c r="E17" t="s">
        <v>24</v>
      </c>
      <c r="F17">
        <v>43</v>
      </c>
      <c r="G17">
        <v>17648</v>
      </c>
      <c r="H17">
        <v>15</v>
      </c>
      <c r="I17">
        <v>1</v>
      </c>
      <c r="J17" t="s">
        <v>15</v>
      </c>
      <c r="K17" t="s">
        <v>32</v>
      </c>
      <c r="L17" t="s">
        <v>21</v>
      </c>
      <c r="M17">
        <v>211776</v>
      </c>
      <c r="N17" t="s">
        <v>46</v>
      </c>
      <c r="O17" t="s">
        <v>52</v>
      </c>
      <c r="P17" t="s">
        <v>51</v>
      </c>
    </row>
    <row r="18" spans="1:16" x14ac:dyDescent="0.2">
      <c r="A18">
        <v>17</v>
      </c>
      <c r="B18" s="2">
        <v>43924</v>
      </c>
      <c r="C18" t="s">
        <v>30</v>
      </c>
      <c r="D18" t="s">
        <v>38</v>
      </c>
      <c r="E18" t="s">
        <v>14</v>
      </c>
      <c r="F18">
        <v>41</v>
      </c>
      <c r="G18">
        <v>17695</v>
      </c>
      <c r="H18">
        <v>8</v>
      </c>
      <c r="I18">
        <v>1</v>
      </c>
      <c r="J18" t="s">
        <v>15</v>
      </c>
      <c r="K18" t="s">
        <v>27</v>
      </c>
      <c r="L18" t="s">
        <v>34</v>
      </c>
      <c r="M18">
        <v>212340</v>
      </c>
      <c r="N18" t="s">
        <v>46</v>
      </c>
      <c r="O18" t="s">
        <v>52</v>
      </c>
      <c r="P18" t="s">
        <v>51</v>
      </c>
    </row>
    <row r="19" spans="1:16" x14ac:dyDescent="0.2">
      <c r="A19">
        <v>18</v>
      </c>
      <c r="B19" s="2">
        <v>44236</v>
      </c>
      <c r="C19" t="s">
        <v>30</v>
      </c>
      <c r="D19" t="s">
        <v>38</v>
      </c>
      <c r="E19" t="s">
        <v>24</v>
      </c>
      <c r="F19">
        <v>37</v>
      </c>
      <c r="G19">
        <v>12562</v>
      </c>
      <c r="H19">
        <v>5</v>
      </c>
      <c r="I19">
        <v>4</v>
      </c>
      <c r="J19" t="s">
        <v>20</v>
      </c>
      <c r="K19" t="s">
        <v>16</v>
      </c>
      <c r="L19" t="s">
        <v>39</v>
      </c>
      <c r="M19">
        <v>150744</v>
      </c>
      <c r="N19" t="s">
        <v>46</v>
      </c>
      <c r="O19" t="s">
        <v>50</v>
      </c>
      <c r="P19" t="s">
        <v>53</v>
      </c>
    </row>
    <row r="20" spans="1:16" x14ac:dyDescent="0.2">
      <c r="A20">
        <v>19</v>
      </c>
      <c r="B20" s="2">
        <v>43332</v>
      </c>
      <c r="C20" t="s">
        <v>22</v>
      </c>
      <c r="D20" t="s">
        <v>35</v>
      </c>
      <c r="E20" t="s">
        <v>24</v>
      </c>
      <c r="F20">
        <v>56</v>
      </c>
      <c r="G20">
        <v>15214</v>
      </c>
      <c r="H20">
        <v>13</v>
      </c>
      <c r="I20">
        <v>2</v>
      </c>
      <c r="J20" t="s">
        <v>20</v>
      </c>
      <c r="K20" t="s">
        <v>16</v>
      </c>
      <c r="L20" t="s">
        <v>21</v>
      </c>
      <c r="M20">
        <v>182568</v>
      </c>
      <c r="N20" t="s">
        <v>47</v>
      </c>
      <c r="O20" t="s">
        <v>52</v>
      </c>
      <c r="P20" t="s">
        <v>51</v>
      </c>
    </row>
    <row r="21" spans="1:16" x14ac:dyDescent="0.2">
      <c r="A21">
        <v>20</v>
      </c>
      <c r="B21" s="2">
        <v>40757</v>
      </c>
      <c r="C21" t="s">
        <v>18</v>
      </c>
      <c r="D21" t="s">
        <v>19</v>
      </c>
      <c r="E21" t="s">
        <v>14</v>
      </c>
      <c r="F21">
        <v>41</v>
      </c>
      <c r="G21">
        <v>9797</v>
      </c>
      <c r="H21">
        <v>3</v>
      </c>
      <c r="I21">
        <v>4</v>
      </c>
      <c r="J21" t="s">
        <v>15</v>
      </c>
      <c r="K21" t="s">
        <v>16</v>
      </c>
      <c r="L21" t="s">
        <v>39</v>
      </c>
      <c r="M21">
        <v>117564</v>
      </c>
      <c r="N21" t="s">
        <v>46</v>
      </c>
      <c r="O21" t="s">
        <v>50</v>
      </c>
      <c r="P21" t="s">
        <v>53</v>
      </c>
    </row>
    <row r="22" spans="1:16" x14ac:dyDescent="0.2">
      <c r="A22">
        <v>21</v>
      </c>
      <c r="B22" s="2">
        <v>43232</v>
      </c>
      <c r="C22" t="s">
        <v>12</v>
      </c>
      <c r="D22" t="s">
        <v>13</v>
      </c>
      <c r="E22" t="s">
        <v>14</v>
      </c>
      <c r="F22">
        <v>38</v>
      </c>
      <c r="G22">
        <v>14850</v>
      </c>
      <c r="H22">
        <v>15</v>
      </c>
      <c r="I22">
        <v>4</v>
      </c>
      <c r="J22" t="s">
        <v>15</v>
      </c>
      <c r="K22" t="s">
        <v>32</v>
      </c>
      <c r="L22" t="s">
        <v>17</v>
      </c>
      <c r="M22">
        <v>178200</v>
      </c>
      <c r="N22" t="s">
        <v>46</v>
      </c>
      <c r="O22" t="s">
        <v>52</v>
      </c>
      <c r="P22" t="s">
        <v>53</v>
      </c>
    </row>
    <row r="23" spans="1:16" x14ac:dyDescent="0.2">
      <c r="A23">
        <v>22</v>
      </c>
      <c r="B23" s="2">
        <v>44016</v>
      </c>
      <c r="C23" t="s">
        <v>18</v>
      </c>
      <c r="D23" t="s">
        <v>19</v>
      </c>
      <c r="E23" t="s">
        <v>24</v>
      </c>
      <c r="F23">
        <v>44</v>
      </c>
      <c r="G23">
        <v>9208</v>
      </c>
      <c r="H23">
        <v>5</v>
      </c>
      <c r="I23">
        <v>5</v>
      </c>
      <c r="J23" t="s">
        <v>20</v>
      </c>
      <c r="K23" t="s">
        <v>16</v>
      </c>
      <c r="L23" t="s">
        <v>21</v>
      </c>
      <c r="M23">
        <v>110496</v>
      </c>
      <c r="N23" t="s">
        <v>46</v>
      </c>
      <c r="O23" t="s">
        <v>50</v>
      </c>
      <c r="P23" t="s">
        <v>53</v>
      </c>
    </row>
    <row r="24" spans="1:16" x14ac:dyDescent="0.2">
      <c r="A24">
        <v>23</v>
      </c>
      <c r="B24" s="2">
        <v>41786</v>
      </c>
      <c r="C24" t="s">
        <v>36</v>
      </c>
      <c r="D24" t="s">
        <v>40</v>
      </c>
      <c r="E24" t="s">
        <v>24</v>
      </c>
      <c r="F24">
        <v>57</v>
      </c>
      <c r="G24">
        <v>16017</v>
      </c>
      <c r="H24">
        <v>2</v>
      </c>
      <c r="I24">
        <v>3</v>
      </c>
      <c r="J24" t="s">
        <v>15</v>
      </c>
      <c r="K24" t="s">
        <v>16</v>
      </c>
      <c r="L24" t="s">
        <v>17</v>
      </c>
      <c r="M24">
        <v>192204</v>
      </c>
      <c r="N24" t="s">
        <v>47</v>
      </c>
      <c r="O24" t="s">
        <v>54</v>
      </c>
      <c r="P24" t="s">
        <v>55</v>
      </c>
    </row>
    <row r="25" spans="1:16" x14ac:dyDescent="0.2">
      <c r="A25">
        <v>24</v>
      </c>
      <c r="B25" s="2">
        <v>43643</v>
      </c>
      <c r="C25" t="s">
        <v>18</v>
      </c>
      <c r="D25" t="s">
        <v>19</v>
      </c>
      <c r="E25" t="s">
        <v>14</v>
      </c>
      <c r="F25">
        <v>41</v>
      </c>
      <c r="G25">
        <v>14197</v>
      </c>
      <c r="H25">
        <v>9</v>
      </c>
      <c r="I25">
        <v>4</v>
      </c>
      <c r="J25" t="s">
        <v>15</v>
      </c>
      <c r="K25" t="s">
        <v>16</v>
      </c>
      <c r="L25" t="s">
        <v>17</v>
      </c>
      <c r="M25">
        <v>170364</v>
      </c>
      <c r="N25" t="s">
        <v>46</v>
      </c>
      <c r="O25" t="s">
        <v>52</v>
      </c>
      <c r="P25" t="s">
        <v>53</v>
      </c>
    </row>
    <row r="26" spans="1:16" x14ac:dyDescent="0.2">
      <c r="A26">
        <v>25</v>
      </c>
      <c r="B26" s="2">
        <v>40734</v>
      </c>
      <c r="C26" t="s">
        <v>12</v>
      </c>
      <c r="D26" t="s">
        <v>13</v>
      </c>
      <c r="E26" t="s">
        <v>24</v>
      </c>
      <c r="F26">
        <v>24</v>
      </c>
      <c r="G26">
        <v>12854</v>
      </c>
      <c r="H26">
        <v>2</v>
      </c>
      <c r="I26">
        <v>4</v>
      </c>
      <c r="J26" t="s">
        <v>15</v>
      </c>
      <c r="K26" t="s">
        <v>16</v>
      </c>
      <c r="L26" t="s">
        <v>25</v>
      </c>
      <c r="M26">
        <v>154248</v>
      </c>
      <c r="N26" t="s">
        <v>45</v>
      </c>
      <c r="O26" t="s">
        <v>54</v>
      </c>
      <c r="P26" t="s">
        <v>53</v>
      </c>
    </row>
    <row r="27" spans="1:16" x14ac:dyDescent="0.2">
      <c r="A27">
        <v>26</v>
      </c>
      <c r="B27" s="2">
        <v>41773</v>
      </c>
      <c r="C27" t="s">
        <v>12</v>
      </c>
      <c r="D27" t="s">
        <v>41</v>
      </c>
      <c r="E27" t="s">
        <v>24</v>
      </c>
      <c r="F27">
        <v>28</v>
      </c>
      <c r="G27">
        <v>7208</v>
      </c>
      <c r="H27">
        <v>2</v>
      </c>
      <c r="I27">
        <v>4</v>
      </c>
      <c r="J27" t="s">
        <v>15</v>
      </c>
      <c r="K27" t="s">
        <v>16</v>
      </c>
      <c r="L27" t="s">
        <v>25</v>
      </c>
      <c r="M27">
        <v>86496</v>
      </c>
      <c r="N27" t="s">
        <v>45</v>
      </c>
      <c r="O27" t="s">
        <v>54</v>
      </c>
      <c r="P27" t="s">
        <v>53</v>
      </c>
    </row>
    <row r="28" spans="1:16" x14ac:dyDescent="0.2">
      <c r="A28">
        <v>27</v>
      </c>
      <c r="B28" s="2">
        <v>44154</v>
      </c>
      <c r="C28" t="s">
        <v>22</v>
      </c>
      <c r="D28" t="s">
        <v>23</v>
      </c>
      <c r="E28" t="s">
        <v>24</v>
      </c>
      <c r="F28">
        <v>36</v>
      </c>
      <c r="G28">
        <v>10809</v>
      </c>
      <c r="H28">
        <v>4</v>
      </c>
      <c r="I28">
        <v>4</v>
      </c>
      <c r="J28" t="s">
        <v>20</v>
      </c>
      <c r="K28" t="s">
        <v>16</v>
      </c>
      <c r="L28" t="s">
        <v>39</v>
      </c>
      <c r="M28">
        <v>129708</v>
      </c>
      <c r="N28" t="s">
        <v>46</v>
      </c>
      <c r="O28" t="s">
        <v>50</v>
      </c>
      <c r="P28" t="s">
        <v>53</v>
      </c>
    </row>
    <row r="29" spans="1:16" x14ac:dyDescent="0.2">
      <c r="A29">
        <v>28</v>
      </c>
      <c r="B29" s="2">
        <v>42148</v>
      </c>
      <c r="C29" t="s">
        <v>12</v>
      </c>
      <c r="D29" t="s">
        <v>13</v>
      </c>
      <c r="E29" t="s">
        <v>14</v>
      </c>
      <c r="F29">
        <v>33</v>
      </c>
      <c r="G29">
        <v>6269</v>
      </c>
      <c r="H29">
        <v>15</v>
      </c>
      <c r="I29">
        <v>5</v>
      </c>
      <c r="J29" t="s">
        <v>20</v>
      </c>
      <c r="K29" t="s">
        <v>27</v>
      </c>
      <c r="L29" t="s">
        <v>39</v>
      </c>
      <c r="M29">
        <v>75228</v>
      </c>
      <c r="N29" t="s">
        <v>46</v>
      </c>
      <c r="O29" t="s">
        <v>52</v>
      </c>
      <c r="P29" t="s">
        <v>53</v>
      </c>
    </row>
    <row r="30" spans="1:16" x14ac:dyDescent="0.2">
      <c r="A30">
        <v>29</v>
      </c>
      <c r="B30" s="2">
        <v>44872</v>
      </c>
      <c r="C30" t="s">
        <v>22</v>
      </c>
      <c r="D30" t="s">
        <v>35</v>
      </c>
      <c r="E30" t="s">
        <v>14</v>
      </c>
      <c r="F30">
        <v>26</v>
      </c>
      <c r="G30">
        <v>17810</v>
      </c>
      <c r="H30">
        <v>1</v>
      </c>
      <c r="I30">
        <v>1</v>
      </c>
      <c r="J30" t="s">
        <v>20</v>
      </c>
      <c r="K30" t="s">
        <v>16</v>
      </c>
      <c r="L30" t="s">
        <v>34</v>
      </c>
      <c r="M30">
        <v>213720</v>
      </c>
      <c r="N30" t="s">
        <v>45</v>
      </c>
      <c r="O30" t="s">
        <v>54</v>
      </c>
      <c r="P30" t="s">
        <v>51</v>
      </c>
    </row>
    <row r="31" spans="1:16" x14ac:dyDescent="0.2">
      <c r="A31">
        <v>30</v>
      </c>
      <c r="B31" s="2">
        <v>44579</v>
      </c>
      <c r="C31" t="s">
        <v>30</v>
      </c>
      <c r="D31" t="s">
        <v>31</v>
      </c>
      <c r="E31" t="s">
        <v>14</v>
      </c>
      <c r="F31">
        <v>34</v>
      </c>
      <c r="G31">
        <v>18565</v>
      </c>
      <c r="H31">
        <v>13</v>
      </c>
      <c r="I31">
        <v>3</v>
      </c>
      <c r="J31" t="s">
        <v>15</v>
      </c>
      <c r="K31" t="s">
        <v>32</v>
      </c>
      <c r="L31" t="s">
        <v>25</v>
      </c>
      <c r="M31">
        <v>222780</v>
      </c>
      <c r="N31" t="s">
        <v>46</v>
      </c>
      <c r="O31" t="s">
        <v>52</v>
      </c>
      <c r="P31" t="s">
        <v>55</v>
      </c>
    </row>
    <row r="32" spans="1:16" x14ac:dyDescent="0.2">
      <c r="A32">
        <v>31</v>
      </c>
      <c r="B32" s="2">
        <v>40875</v>
      </c>
      <c r="C32" t="s">
        <v>28</v>
      </c>
      <c r="D32" t="s">
        <v>29</v>
      </c>
      <c r="E32" t="s">
        <v>14</v>
      </c>
      <c r="F32">
        <v>37</v>
      </c>
      <c r="G32">
        <v>13888</v>
      </c>
      <c r="H32">
        <v>7</v>
      </c>
      <c r="I32">
        <v>3</v>
      </c>
      <c r="J32" t="s">
        <v>20</v>
      </c>
      <c r="K32" t="s">
        <v>32</v>
      </c>
      <c r="L32" t="s">
        <v>39</v>
      </c>
      <c r="M32">
        <v>166656</v>
      </c>
      <c r="N32" t="s">
        <v>46</v>
      </c>
      <c r="O32" t="s">
        <v>50</v>
      </c>
      <c r="P32" t="s">
        <v>55</v>
      </c>
    </row>
    <row r="33" spans="1:16" x14ac:dyDescent="0.2">
      <c r="A33">
        <v>32</v>
      </c>
      <c r="B33" s="2">
        <v>42450</v>
      </c>
      <c r="C33" t="s">
        <v>18</v>
      </c>
      <c r="D33" t="s">
        <v>26</v>
      </c>
      <c r="E33" t="s">
        <v>14</v>
      </c>
      <c r="F33">
        <v>49</v>
      </c>
      <c r="G33">
        <v>19157</v>
      </c>
      <c r="H33">
        <v>13</v>
      </c>
      <c r="I33">
        <v>5</v>
      </c>
      <c r="J33" t="s">
        <v>20</v>
      </c>
      <c r="K33" t="s">
        <v>27</v>
      </c>
      <c r="L33" t="s">
        <v>39</v>
      </c>
      <c r="M33">
        <v>229884</v>
      </c>
      <c r="N33" t="s">
        <v>47</v>
      </c>
      <c r="O33" t="s">
        <v>52</v>
      </c>
      <c r="P33" t="s">
        <v>53</v>
      </c>
    </row>
    <row r="34" spans="1:16" x14ac:dyDescent="0.2">
      <c r="A34">
        <v>33</v>
      </c>
      <c r="B34" s="2">
        <v>44828</v>
      </c>
      <c r="C34" t="s">
        <v>28</v>
      </c>
      <c r="D34" t="s">
        <v>29</v>
      </c>
      <c r="E34" t="s">
        <v>24</v>
      </c>
      <c r="F34">
        <v>44</v>
      </c>
      <c r="G34">
        <v>4897</v>
      </c>
      <c r="H34">
        <v>11</v>
      </c>
      <c r="I34">
        <v>3</v>
      </c>
      <c r="J34" t="s">
        <v>20</v>
      </c>
      <c r="K34" t="s">
        <v>16</v>
      </c>
      <c r="L34" t="s">
        <v>21</v>
      </c>
      <c r="M34">
        <v>58764</v>
      </c>
      <c r="N34" t="s">
        <v>46</v>
      </c>
      <c r="O34" t="s">
        <v>52</v>
      </c>
      <c r="P34" t="s">
        <v>55</v>
      </c>
    </row>
    <row r="35" spans="1:16" x14ac:dyDescent="0.2">
      <c r="A35">
        <v>34</v>
      </c>
      <c r="B35" s="2">
        <v>44531</v>
      </c>
      <c r="C35" t="s">
        <v>36</v>
      </c>
      <c r="D35" t="s">
        <v>40</v>
      </c>
      <c r="E35" t="s">
        <v>14</v>
      </c>
      <c r="F35">
        <v>46</v>
      </c>
      <c r="G35">
        <v>17399</v>
      </c>
      <c r="H35">
        <v>6</v>
      </c>
      <c r="I35">
        <v>5</v>
      </c>
      <c r="J35" t="s">
        <v>15</v>
      </c>
      <c r="K35" t="s">
        <v>16</v>
      </c>
      <c r="L35" t="s">
        <v>25</v>
      </c>
      <c r="M35">
        <v>208788</v>
      </c>
      <c r="N35" t="s">
        <v>47</v>
      </c>
      <c r="O35" t="s">
        <v>50</v>
      </c>
      <c r="P35" t="s">
        <v>53</v>
      </c>
    </row>
    <row r="36" spans="1:16" x14ac:dyDescent="0.2">
      <c r="A36">
        <v>35</v>
      </c>
      <c r="B36" s="2">
        <v>41726</v>
      </c>
      <c r="C36" t="s">
        <v>18</v>
      </c>
      <c r="D36" t="s">
        <v>19</v>
      </c>
      <c r="E36" t="s">
        <v>24</v>
      </c>
      <c r="F36">
        <v>26</v>
      </c>
      <c r="G36">
        <v>13262</v>
      </c>
      <c r="H36">
        <v>3</v>
      </c>
      <c r="I36">
        <v>4</v>
      </c>
      <c r="J36" t="s">
        <v>20</v>
      </c>
      <c r="K36" t="s">
        <v>32</v>
      </c>
      <c r="L36" t="s">
        <v>17</v>
      </c>
      <c r="M36">
        <v>159144</v>
      </c>
      <c r="N36" t="s">
        <v>45</v>
      </c>
      <c r="O36" t="s">
        <v>50</v>
      </c>
      <c r="P36" t="s">
        <v>53</v>
      </c>
    </row>
    <row r="37" spans="1:16" x14ac:dyDescent="0.2">
      <c r="A37">
        <v>36</v>
      </c>
      <c r="B37" s="2">
        <v>40349</v>
      </c>
      <c r="C37" t="s">
        <v>12</v>
      </c>
      <c r="D37" t="s">
        <v>41</v>
      </c>
      <c r="E37" t="s">
        <v>24</v>
      </c>
      <c r="F37">
        <v>27</v>
      </c>
      <c r="G37">
        <v>11965</v>
      </c>
      <c r="H37">
        <v>12</v>
      </c>
      <c r="I37">
        <v>4</v>
      </c>
      <c r="J37" t="s">
        <v>20</v>
      </c>
      <c r="K37" t="s">
        <v>27</v>
      </c>
      <c r="L37" t="s">
        <v>39</v>
      </c>
      <c r="M37">
        <v>143580</v>
      </c>
      <c r="N37" t="s">
        <v>45</v>
      </c>
      <c r="O37" t="s">
        <v>52</v>
      </c>
      <c r="P37" t="s">
        <v>53</v>
      </c>
    </row>
    <row r="38" spans="1:16" x14ac:dyDescent="0.2">
      <c r="A38">
        <v>37</v>
      </c>
      <c r="B38" s="2">
        <v>40706</v>
      </c>
      <c r="C38" t="s">
        <v>18</v>
      </c>
      <c r="D38" t="s">
        <v>19</v>
      </c>
      <c r="E38" t="s">
        <v>14</v>
      </c>
      <c r="F38">
        <v>30</v>
      </c>
      <c r="G38">
        <v>5323</v>
      </c>
      <c r="H38">
        <v>1</v>
      </c>
      <c r="I38">
        <v>4</v>
      </c>
      <c r="J38" t="s">
        <v>20</v>
      </c>
      <c r="K38" t="s">
        <v>16</v>
      </c>
      <c r="L38" t="s">
        <v>17</v>
      </c>
      <c r="M38">
        <v>63876</v>
      </c>
      <c r="N38" t="s">
        <v>46</v>
      </c>
      <c r="O38" t="s">
        <v>54</v>
      </c>
      <c r="P38" t="s">
        <v>53</v>
      </c>
    </row>
    <row r="39" spans="1:16" x14ac:dyDescent="0.2">
      <c r="A39">
        <v>38</v>
      </c>
      <c r="B39" s="2">
        <v>43788</v>
      </c>
      <c r="C39" t="s">
        <v>22</v>
      </c>
      <c r="D39" t="s">
        <v>23</v>
      </c>
      <c r="E39" t="s">
        <v>14</v>
      </c>
      <c r="F39">
        <v>30</v>
      </c>
      <c r="G39">
        <v>13882</v>
      </c>
      <c r="H39">
        <v>13</v>
      </c>
      <c r="I39">
        <v>4</v>
      </c>
      <c r="J39" t="s">
        <v>15</v>
      </c>
      <c r="K39" t="s">
        <v>27</v>
      </c>
      <c r="L39" t="s">
        <v>25</v>
      </c>
      <c r="M39">
        <v>166584</v>
      </c>
      <c r="N39" t="s">
        <v>46</v>
      </c>
      <c r="O39" t="s">
        <v>52</v>
      </c>
      <c r="P39" t="s">
        <v>53</v>
      </c>
    </row>
    <row r="40" spans="1:16" x14ac:dyDescent="0.2">
      <c r="A40">
        <v>39</v>
      </c>
      <c r="B40" s="2">
        <v>42362</v>
      </c>
      <c r="C40" t="s">
        <v>30</v>
      </c>
      <c r="D40" t="s">
        <v>31</v>
      </c>
      <c r="E40" t="s">
        <v>24</v>
      </c>
      <c r="F40">
        <v>37</v>
      </c>
      <c r="G40">
        <v>8738</v>
      </c>
      <c r="H40">
        <v>4</v>
      </c>
      <c r="I40">
        <v>5</v>
      </c>
      <c r="J40" t="s">
        <v>20</v>
      </c>
      <c r="K40" t="s">
        <v>27</v>
      </c>
      <c r="L40" t="s">
        <v>21</v>
      </c>
      <c r="M40">
        <v>104856</v>
      </c>
      <c r="N40" t="s">
        <v>46</v>
      </c>
      <c r="O40" t="s">
        <v>50</v>
      </c>
      <c r="P40" t="s">
        <v>53</v>
      </c>
    </row>
    <row r="41" spans="1:16" x14ac:dyDescent="0.2">
      <c r="A41">
        <v>40</v>
      </c>
      <c r="B41" s="2">
        <v>44252</v>
      </c>
      <c r="C41" t="s">
        <v>36</v>
      </c>
      <c r="D41" t="s">
        <v>37</v>
      </c>
      <c r="E41" t="s">
        <v>14</v>
      </c>
      <c r="F41">
        <v>58</v>
      </c>
      <c r="G41">
        <v>5742</v>
      </c>
      <c r="H41">
        <v>6</v>
      </c>
      <c r="I41">
        <v>5</v>
      </c>
      <c r="J41" t="s">
        <v>15</v>
      </c>
      <c r="K41" t="s">
        <v>16</v>
      </c>
      <c r="L41" t="s">
        <v>17</v>
      </c>
      <c r="M41">
        <v>68904</v>
      </c>
      <c r="N41" t="s">
        <v>47</v>
      </c>
      <c r="O41" t="s">
        <v>50</v>
      </c>
      <c r="P41" t="s">
        <v>53</v>
      </c>
    </row>
    <row r="42" spans="1:16" x14ac:dyDescent="0.2">
      <c r="A42">
        <v>41</v>
      </c>
      <c r="B42" s="2">
        <v>43587</v>
      </c>
      <c r="C42" t="s">
        <v>28</v>
      </c>
      <c r="D42" t="s">
        <v>29</v>
      </c>
      <c r="E42" t="s">
        <v>14</v>
      </c>
      <c r="F42">
        <v>27</v>
      </c>
      <c r="G42">
        <v>15101</v>
      </c>
      <c r="H42">
        <v>5</v>
      </c>
      <c r="I42">
        <v>2</v>
      </c>
      <c r="J42" t="s">
        <v>20</v>
      </c>
      <c r="K42" t="s">
        <v>27</v>
      </c>
      <c r="L42" t="s">
        <v>21</v>
      </c>
      <c r="M42">
        <v>181212</v>
      </c>
      <c r="N42" t="s">
        <v>45</v>
      </c>
      <c r="O42" t="s">
        <v>50</v>
      </c>
      <c r="P42" t="s">
        <v>51</v>
      </c>
    </row>
    <row r="43" spans="1:16" x14ac:dyDescent="0.2">
      <c r="A43">
        <v>42</v>
      </c>
      <c r="B43" s="2">
        <v>43304</v>
      </c>
      <c r="C43" t="s">
        <v>36</v>
      </c>
      <c r="D43" t="s">
        <v>37</v>
      </c>
      <c r="E43" t="s">
        <v>14</v>
      </c>
      <c r="F43">
        <v>26</v>
      </c>
      <c r="G43">
        <v>7734</v>
      </c>
      <c r="H43">
        <v>1</v>
      </c>
      <c r="I43">
        <v>1</v>
      </c>
      <c r="J43" t="s">
        <v>15</v>
      </c>
      <c r="K43" t="s">
        <v>32</v>
      </c>
      <c r="L43" t="s">
        <v>39</v>
      </c>
      <c r="M43">
        <v>92808</v>
      </c>
      <c r="N43" t="s">
        <v>45</v>
      </c>
      <c r="O43" t="s">
        <v>54</v>
      </c>
      <c r="P43" t="s">
        <v>51</v>
      </c>
    </row>
    <row r="44" spans="1:16" x14ac:dyDescent="0.2">
      <c r="A44">
        <v>43</v>
      </c>
      <c r="B44" s="2">
        <v>45024</v>
      </c>
      <c r="C44" t="s">
        <v>30</v>
      </c>
      <c r="D44" t="s">
        <v>38</v>
      </c>
      <c r="E44" t="s">
        <v>14</v>
      </c>
      <c r="F44">
        <v>44</v>
      </c>
      <c r="G44">
        <v>4778</v>
      </c>
      <c r="H44">
        <v>1</v>
      </c>
      <c r="I44">
        <v>5</v>
      </c>
      <c r="J44" t="s">
        <v>15</v>
      </c>
      <c r="K44" t="s">
        <v>27</v>
      </c>
      <c r="L44" t="s">
        <v>17</v>
      </c>
      <c r="M44">
        <v>57336</v>
      </c>
      <c r="N44" t="s">
        <v>46</v>
      </c>
      <c r="O44" t="s">
        <v>54</v>
      </c>
      <c r="P44" t="s">
        <v>53</v>
      </c>
    </row>
    <row r="45" spans="1:16" x14ac:dyDescent="0.2">
      <c r="A45">
        <v>44</v>
      </c>
      <c r="B45" s="2">
        <v>43027</v>
      </c>
      <c r="C45" t="s">
        <v>12</v>
      </c>
      <c r="D45" t="s">
        <v>13</v>
      </c>
      <c r="E45" t="s">
        <v>14</v>
      </c>
      <c r="F45">
        <v>33</v>
      </c>
      <c r="G45">
        <v>11636</v>
      </c>
      <c r="H45">
        <v>0</v>
      </c>
      <c r="I45">
        <v>4</v>
      </c>
      <c r="J45" t="s">
        <v>20</v>
      </c>
      <c r="K45" t="s">
        <v>16</v>
      </c>
      <c r="L45" t="s">
        <v>39</v>
      </c>
      <c r="M45">
        <v>139632</v>
      </c>
      <c r="N45" t="s">
        <v>46</v>
      </c>
      <c r="O45" t="s">
        <v>54</v>
      </c>
      <c r="P45" t="s">
        <v>53</v>
      </c>
    </row>
    <row r="46" spans="1:16" x14ac:dyDescent="0.2">
      <c r="A46">
        <v>45</v>
      </c>
      <c r="B46" s="2">
        <v>44051</v>
      </c>
      <c r="C46" t="s">
        <v>30</v>
      </c>
      <c r="D46" t="s">
        <v>31</v>
      </c>
      <c r="E46" t="s">
        <v>24</v>
      </c>
      <c r="F46">
        <v>41</v>
      </c>
      <c r="G46">
        <v>14874</v>
      </c>
      <c r="H46">
        <v>9</v>
      </c>
      <c r="I46">
        <v>5</v>
      </c>
      <c r="J46" t="s">
        <v>15</v>
      </c>
      <c r="K46" t="s">
        <v>27</v>
      </c>
      <c r="L46" t="s">
        <v>34</v>
      </c>
      <c r="M46">
        <v>178488</v>
      </c>
      <c r="N46" t="s">
        <v>46</v>
      </c>
      <c r="O46" t="s">
        <v>52</v>
      </c>
      <c r="P46" t="s">
        <v>53</v>
      </c>
    </row>
    <row r="47" spans="1:16" x14ac:dyDescent="0.2">
      <c r="A47">
        <v>46</v>
      </c>
      <c r="B47" s="2">
        <v>44158</v>
      </c>
      <c r="C47" t="s">
        <v>36</v>
      </c>
      <c r="D47" t="s">
        <v>37</v>
      </c>
      <c r="E47" t="s">
        <v>24</v>
      </c>
      <c r="F47">
        <v>28</v>
      </c>
      <c r="G47">
        <v>16433</v>
      </c>
      <c r="H47">
        <v>12</v>
      </c>
      <c r="I47">
        <v>5</v>
      </c>
      <c r="J47" t="s">
        <v>15</v>
      </c>
      <c r="K47" t="s">
        <v>16</v>
      </c>
      <c r="L47" t="s">
        <v>39</v>
      </c>
      <c r="M47">
        <v>197196</v>
      </c>
      <c r="N47" t="s">
        <v>45</v>
      </c>
      <c r="O47" t="s">
        <v>52</v>
      </c>
      <c r="P47" t="s">
        <v>53</v>
      </c>
    </row>
    <row r="48" spans="1:16" x14ac:dyDescent="0.2">
      <c r="A48">
        <v>47</v>
      </c>
      <c r="B48" s="2">
        <v>42417</v>
      </c>
      <c r="C48" t="s">
        <v>36</v>
      </c>
      <c r="D48" t="s">
        <v>42</v>
      </c>
      <c r="E48" t="s">
        <v>14</v>
      </c>
      <c r="F48">
        <v>23</v>
      </c>
      <c r="G48">
        <v>16048</v>
      </c>
      <c r="H48">
        <v>6</v>
      </c>
      <c r="I48">
        <v>4</v>
      </c>
      <c r="J48" t="s">
        <v>15</v>
      </c>
      <c r="K48" t="s">
        <v>16</v>
      </c>
      <c r="L48" t="s">
        <v>34</v>
      </c>
      <c r="M48">
        <v>192576</v>
      </c>
      <c r="N48" t="s">
        <v>45</v>
      </c>
      <c r="O48" t="s">
        <v>50</v>
      </c>
      <c r="P48" t="s">
        <v>53</v>
      </c>
    </row>
    <row r="49" spans="1:16" x14ac:dyDescent="0.2">
      <c r="A49">
        <v>48</v>
      </c>
      <c r="B49" s="2">
        <v>42611</v>
      </c>
      <c r="C49" t="s">
        <v>12</v>
      </c>
      <c r="D49" t="s">
        <v>13</v>
      </c>
      <c r="E49" t="s">
        <v>14</v>
      </c>
      <c r="F49">
        <v>50</v>
      </c>
      <c r="G49">
        <v>12469</v>
      </c>
      <c r="H49">
        <v>4</v>
      </c>
      <c r="I49">
        <v>3</v>
      </c>
      <c r="J49" t="s">
        <v>20</v>
      </c>
      <c r="K49" t="s">
        <v>27</v>
      </c>
      <c r="L49" t="s">
        <v>34</v>
      </c>
      <c r="M49">
        <v>149628</v>
      </c>
      <c r="N49" t="s">
        <v>47</v>
      </c>
      <c r="O49" t="s">
        <v>50</v>
      </c>
      <c r="P49" t="s">
        <v>55</v>
      </c>
    </row>
    <row r="50" spans="1:16" x14ac:dyDescent="0.2">
      <c r="A50">
        <v>49</v>
      </c>
      <c r="B50" s="2">
        <v>43441</v>
      </c>
      <c r="C50" t="s">
        <v>30</v>
      </c>
      <c r="D50" t="s">
        <v>38</v>
      </c>
      <c r="E50" t="s">
        <v>24</v>
      </c>
      <c r="F50">
        <v>53</v>
      </c>
      <c r="G50">
        <v>11772</v>
      </c>
      <c r="H50">
        <v>11</v>
      </c>
      <c r="I50">
        <v>4</v>
      </c>
      <c r="J50" t="s">
        <v>20</v>
      </c>
      <c r="K50" t="s">
        <v>32</v>
      </c>
      <c r="L50" t="s">
        <v>25</v>
      </c>
      <c r="M50">
        <v>141264</v>
      </c>
      <c r="N50" t="s">
        <v>47</v>
      </c>
      <c r="O50" t="s">
        <v>52</v>
      </c>
      <c r="P50" t="s">
        <v>53</v>
      </c>
    </row>
    <row r="51" spans="1:16" x14ac:dyDescent="0.2">
      <c r="A51">
        <v>50</v>
      </c>
      <c r="B51" s="2">
        <v>42226</v>
      </c>
      <c r="C51" t="s">
        <v>18</v>
      </c>
      <c r="D51" t="s">
        <v>26</v>
      </c>
      <c r="E51" t="s">
        <v>14</v>
      </c>
      <c r="F51">
        <v>57</v>
      </c>
      <c r="G51">
        <v>15419</v>
      </c>
      <c r="H51">
        <v>14</v>
      </c>
      <c r="I51">
        <v>1</v>
      </c>
      <c r="J51" t="s">
        <v>20</v>
      </c>
      <c r="K51" t="s">
        <v>27</v>
      </c>
      <c r="L51" t="s">
        <v>21</v>
      </c>
      <c r="M51">
        <v>185028</v>
      </c>
      <c r="N51" t="s">
        <v>47</v>
      </c>
      <c r="O51" t="s">
        <v>52</v>
      </c>
      <c r="P51" t="s">
        <v>51</v>
      </c>
    </row>
    <row r="52" spans="1:16" x14ac:dyDescent="0.2">
      <c r="A52">
        <v>51</v>
      </c>
      <c r="B52" s="2">
        <v>44401</v>
      </c>
      <c r="C52" t="s">
        <v>12</v>
      </c>
      <c r="D52" t="s">
        <v>13</v>
      </c>
      <c r="E52" t="s">
        <v>24</v>
      </c>
      <c r="F52">
        <v>28</v>
      </c>
      <c r="G52">
        <v>19918</v>
      </c>
      <c r="H52">
        <v>3</v>
      </c>
      <c r="I52">
        <v>1</v>
      </c>
      <c r="J52" t="s">
        <v>20</v>
      </c>
      <c r="K52" t="s">
        <v>27</v>
      </c>
      <c r="L52" t="s">
        <v>34</v>
      </c>
      <c r="M52">
        <v>239016</v>
      </c>
      <c r="N52" t="s">
        <v>45</v>
      </c>
      <c r="O52" t="s">
        <v>50</v>
      </c>
      <c r="P52" t="s">
        <v>51</v>
      </c>
    </row>
    <row r="53" spans="1:16" x14ac:dyDescent="0.2">
      <c r="A53">
        <v>52</v>
      </c>
      <c r="B53" s="2">
        <v>41615</v>
      </c>
      <c r="C53" t="s">
        <v>30</v>
      </c>
      <c r="D53" t="s">
        <v>31</v>
      </c>
      <c r="E53" t="s">
        <v>14</v>
      </c>
      <c r="F53">
        <v>33</v>
      </c>
      <c r="G53">
        <v>4153</v>
      </c>
      <c r="H53">
        <v>13</v>
      </c>
      <c r="I53">
        <v>1</v>
      </c>
      <c r="J53" t="s">
        <v>20</v>
      </c>
      <c r="K53" t="s">
        <v>27</v>
      </c>
      <c r="L53" t="s">
        <v>34</v>
      </c>
      <c r="M53">
        <v>49836</v>
      </c>
      <c r="N53" t="s">
        <v>46</v>
      </c>
      <c r="O53" t="s">
        <v>52</v>
      </c>
      <c r="P53" t="s">
        <v>51</v>
      </c>
    </row>
    <row r="54" spans="1:16" x14ac:dyDescent="0.2">
      <c r="A54">
        <v>53</v>
      </c>
      <c r="B54" s="2">
        <v>44801</v>
      </c>
      <c r="C54" t="s">
        <v>36</v>
      </c>
      <c r="D54" t="s">
        <v>40</v>
      </c>
      <c r="E54" t="s">
        <v>24</v>
      </c>
      <c r="F54">
        <v>45</v>
      </c>
      <c r="G54">
        <v>12063</v>
      </c>
      <c r="H54">
        <v>7</v>
      </c>
      <c r="I54">
        <v>1</v>
      </c>
      <c r="J54" t="s">
        <v>20</v>
      </c>
      <c r="K54" t="s">
        <v>27</v>
      </c>
      <c r="L54" t="s">
        <v>39</v>
      </c>
      <c r="M54">
        <v>144756</v>
      </c>
      <c r="N54" t="s">
        <v>46</v>
      </c>
      <c r="O54" t="s">
        <v>50</v>
      </c>
      <c r="P54" t="s">
        <v>51</v>
      </c>
    </row>
    <row r="55" spans="1:16" x14ac:dyDescent="0.2">
      <c r="A55">
        <v>54</v>
      </c>
      <c r="B55" s="2">
        <v>42727</v>
      </c>
      <c r="C55" t="s">
        <v>36</v>
      </c>
      <c r="D55" t="s">
        <v>42</v>
      </c>
      <c r="E55" t="s">
        <v>14</v>
      </c>
      <c r="F55">
        <v>26</v>
      </c>
      <c r="G55">
        <v>16096</v>
      </c>
      <c r="H55">
        <v>4</v>
      </c>
      <c r="I55">
        <v>2</v>
      </c>
      <c r="J55" t="s">
        <v>15</v>
      </c>
      <c r="K55" t="s">
        <v>32</v>
      </c>
      <c r="L55" t="s">
        <v>25</v>
      </c>
      <c r="M55">
        <v>193152</v>
      </c>
      <c r="N55" t="s">
        <v>45</v>
      </c>
      <c r="O55" t="s">
        <v>50</v>
      </c>
      <c r="P55" t="s">
        <v>51</v>
      </c>
    </row>
    <row r="56" spans="1:16" x14ac:dyDescent="0.2">
      <c r="A56">
        <v>55</v>
      </c>
      <c r="B56" s="2">
        <v>42551</v>
      </c>
      <c r="C56" t="s">
        <v>12</v>
      </c>
      <c r="D56" t="s">
        <v>41</v>
      </c>
      <c r="E56" t="s">
        <v>24</v>
      </c>
      <c r="F56">
        <v>54</v>
      </c>
      <c r="G56">
        <v>17684</v>
      </c>
      <c r="H56">
        <v>1</v>
      </c>
      <c r="I56">
        <v>2</v>
      </c>
      <c r="J56" t="s">
        <v>15</v>
      </c>
      <c r="K56" t="s">
        <v>16</v>
      </c>
      <c r="L56" t="s">
        <v>39</v>
      </c>
      <c r="M56">
        <v>212208</v>
      </c>
      <c r="N56" t="s">
        <v>47</v>
      </c>
      <c r="O56" t="s">
        <v>54</v>
      </c>
      <c r="P56" t="s">
        <v>51</v>
      </c>
    </row>
    <row r="57" spans="1:16" x14ac:dyDescent="0.2">
      <c r="A57">
        <v>56</v>
      </c>
      <c r="B57" s="2">
        <v>40555</v>
      </c>
      <c r="C57" t="s">
        <v>12</v>
      </c>
      <c r="D57" t="s">
        <v>41</v>
      </c>
      <c r="E57" t="s">
        <v>14</v>
      </c>
      <c r="F57">
        <v>54</v>
      </c>
      <c r="G57">
        <v>12718</v>
      </c>
      <c r="H57">
        <v>15</v>
      </c>
      <c r="I57">
        <v>3</v>
      </c>
      <c r="J57" t="s">
        <v>15</v>
      </c>
      <c r="K57" t="s">
        <v>16</v>
      </c>
      <c r="L57" t="s">
        <v>25</v>
      </c>
      <c r="M57">
        <v>152616</v>
      </c>
      <c r="N57" t="s">
        <v>47</v>
      </c>
      <c r="O57" t="s">
        <v>52</v>
      </c>
      <c r="P57" t="s">
        <v>55</v>
      </c>
    </row>
    <row r="58" spans="1:16" x14ac:dyDescent="0.2">
      <c r="A58">
        <v>57</v>
      </c>
      <c r="B58" s="2">
        <v>44510</v>
      </c>
      <c r="C58" t="s">
        <v>18</v>
      </c>
      <c r="D58" t="s">
        <v>26</v>
      </c>
      <c r="E58" t="s">
        <v>14</v>
      </c>
      <c r="F58">
        <v>25</v>
      </c>
      <c r="G58">
        <v>6016</v>
      </c>
      <c r="H58">
        <v>7</v>
      </c>
      <c r="I58">
        <v>3</v>
      </c>
      <c r="J58" t="s">
        <v>15</v>
      </c>
      <c r="K58" t="s">
        <v>16</v>
      </c>
      <c r="L58" t="s">
        <v>25</v>
      </c>
      <c r="M58">
        <v>72192</v>
      </c>
      <c r="N58" t="s">
        <v>45</v>
      </c>
      <c r="O58" t="s">
        <v>50</v>
      </c>
      <c r="P58" t="s">
        <v>55</v>
      </c>
    </row>
    <row r="59" spans="1:16" x14ac:dyDescent="0.2">
      <c r="A59">
        <v>58</v>
      </c>
      <c r="B59" s="2">
        <v>43831</v>
      </c>
      <c r="C59" t="s">
        <v>18</v>
      </c>
      <c r="D59" t="s">
        <v>26</v>
      </c>
      <c r="E59" t="s">
        <v>14</v>
      </c>
      <c r="F59">
        <v>22</v>
      </c>
      <c r="G59">
        <v>10715</v>
      </c>
      <c r="H59">
        <v>11</v>
      </c>
      <c r="I59">
        <v>2</v>
      </c>
      <c r="J59" t="s">
        <v>15</v>
      </c>
      <c r="K59" t="s">
        <v>32</v>
      </c>
      <c r="L59" t="s">
        <v>39</v>
      </c>
      <c r="M59">
        <v>128580</v>
      </c>
      <c r="N59" t="s">
        <v>45</v>
      </c>
      <c r="O59" t="s">
        <v>52</v>
      </c>
      <c r="P59" t="s">
        <v>51</v>
      </c>
    </row>
    <row r="60" spans="1:16" x14ac:dyDescent="0.2">
      <c r="A60">
        <v>59</v>
      </c>
      <c r="B60" s="2">
        <v>43202</v>
      </c>
      <c r="C60" t="s">
        <v>30</v>
      </c>
      <c r="D60" t="s">
        <v>31</v>
      </c>
      <c r="E60" t="s">
        <v>14</v>
      </c>
      <c r="F60">
        <v>45</v>
      </c>
      <c r="G60">
        <v>19436</v>
      </c>
      <c r="H60">
        <v>8</v>
      </c>
      <c r="I60">
        <v>1</v>
      </c>
      <c r="J60" t="s">
        <v>15</v>
      </c>
      <c r="K60" t="s">
        <v>32</v>
      </c>
      <c r="L60" t="s">
        <v>25</v>
      </c>
      <c r="M60">
        <v>233232</v>
      </c>
      <c r="N60" t="s">
        <v>46</v>
      </c>
      <c r="O60" t="s">
        <v>52</v>
      </c>
      <c r="P60" t="s">
        <v>51</v>
      </c>
    </row>
    <row r="61" spans="1:16" x14ac:dyDescent="0.2">
      <c r="A61">
        <v>60</v>
      </c>
      <c r="B61" s="2">
        <v>41096</v>
      </c>
      <c r="C61" t="s">
        <v>28</v>
      </c>
      <c r="D61" t="s">
        <v>33</v>
      </c>
      <c r="E61" t="s">
        <v>14</v>
      </c>
      <c r="F61">
        <v>55</v>
      </c>
      <c r="G61">
        <v>5291</v>
      </c>
      <c r="H61">
        <v>4</v>
      </c>
      <c r="I61">
        <v>5</v>
      </c>
      <c r="J61" t="s">
        <v>15</v>
      </c>
      <c r="K61" t="s">
        <v>16</v>
      </c>
      <c r="L61" t="s">
        <v>21</v>
      </c>
      <c r="M61">
        <v>63492</v>
      </c>
      <c r="N61" t="s">
        <v>47</v>
      </c>
      <c r="O61" t="s">
        <v>50</v>
      </c>
      <c r="P61" t="s">
        <v>53</v>
      </c>
    </row>
    <row r="62" spans="1:16" x14ac:dyDescent="0.2">
      <c r="A62">
        <v>61</v>
      </c>
      <c r="B62" s="2">
        <v>42749</v>
      </c>
      <c r="C62" t="s">
        <v>18</v>
      </c>
      <c r="D62" t="s">
        <v>26</v>
      </c>
      <c r="E62" t="s">
        <v>24</v>
      </c>
      <c r="F62">
        <v>25</v>
      </c>
      <c r="G62">
        <v>18870</v>
      </c>
      <c r="H62">
        <v>4</v>
      </c>
      <c r="I62">
        <v>3</v>
      </c>
      <c r="J62" t="s">
        <v>15</v>
      </c>
      <c r="K62" t="s">
        <v>32</v>
      </c>
      <c r="L62" t="s">
        <v>17</v>
      </c>
      <c r="M62">
        <v>226440</v>
      </c>
      <c r="N62" t="s">
        <v>45</v>
      </c>
      <c r="O62" t="s">
        <v>50</v>
      </c>
      <c r="P62" t="s">
        <v>55</v>
      </c>
    </row>
    <row r="63" spans="1:16" x14ac:dyDescent="0.2">
      <c r="A63">
        <v>62</v>
      </c>
      <c r="B63" s="2">
        <v>43979</v>
      </c>
      <c r="C63" t="s">
        <v>18</v>
      </c>
      <c r="D63" t="s">
        <v>19</v>
      </c>
      <c r="E63" t="s">
        <v>24</v>
      </c>
      <c r="F63">
        <v>41</v>
      </c>
      <c r="G63">
        <v>7269</v>
      </c>
      <c r="H63">
        <v>0</v>
      </c>
      <c r="I63">
        <v>3</v>
      </c>
      <c r="J63" t="s">
        <v>15</v>
      </c>
      <c r="K63" t="s">
        <v>27</v>
      </c>
      <c r="L63" t="s">
        <v>21</v>
      </c>
      <c r="M63">
        <v>87228</v>
      </c>
      <c r="N63" t="s">
        <v>46</v>
      </c>
      <c r="O63" t="s">
        <v>54</v>
      </c>
      <c r="P63" t="s">
        <v>55</v>
      </c>
    </row>
    <row r="64" spans="1:16" x14ac:dyDescent="0.2">
      <c r="A64">
        <v>63</v>
      </c>
      <c r="B64" s="2">
        <v>43519</v>
      </c>
      <c r="C64" t="s">
        <v>36</v>
      </c>
      <c r="D64" t="s">
        <v>37</v>
      </c>
      <c r="E64" t="s">
        <v>14</v>
      </c>
      <c r="F64">
        <v>34</v>
      </c>
      <c r="G64">
        <v>18683</v>
      </c>
      <c r="H64">
        <v>6</v>
      </c>
      <c r="I64">
        <v>5</v>
      </c>
      <c r="J64" t="s">
        <v>15</v>
      </c>
      <c r="K64" t="s">
        <v>27</v>
      </c>
      <c r="L64" t="s">
        <v>17</v>
      </c>
      <c r="M64">
        <v>224196</v>
      </c>
      <c r="N64" t="s">
        <v>46</v>
      </c>
      <c r="O64" t="s">
        <v>50</v>
      </c>
      <c r="P64" t="s">
        <v>53</v>
      </c>
    </row>
    <row r="65" spans="1:16" x14ac:dyDescent="0.2">
      <c r="A65">
        <v>64</v>
      </c>
      <c r="B65" s="2">
        <v>44161</v>
      </c>
      <c r="C65" t="s">
        <v>30</v>
      </c>
      <c r="D65" t="s">
        <v>31</v>
      </c>
      <c r="E65" t="s">
        <v>24</v>
      </c>
      <c r="F65">
        <v>37</v>
      </c>
      <c r="G65">
        <v>16402</v>
      </c>
      <c r="H65">
        <v>5</v>
      </c>
      <c r="I65">
        <v>4</v>
      </c>
      <c r="J65" t="s">
        <v>20</v>
      </c>
      <c r="K65" t="s">
        <v>27</v>
      </c>
      <c r="L65" t="s">
        <v>17</v>
      </c>
      <c r="M65">
        <v>196824</v>
      </c>
      <c r="N65" t="s">
        <v>46</v>
      </c>
      <c r="O65" t="s">
        <v>50</v>
      </c>
      <c r="P65" t="s">
        <v>53</v>
      </c>
    </row>
    <row r="66" spans="1:16" x14ac:dyDescent="0.2">
      <c r="A66">
        <v>65</v>
      </c>
      <c r="B66" s="2">
        <v>44041</v>
      </c>
      <c r="C66" t="s">
        <v>22</v>
      </c>
      <c r="D66" t="s">
        <v>23</v>
      </c>
      <c r="E66" t="s">
        <v>14</v>
      </c>
      <c r="F66">
        <v>28</v>
      </c>
      <c r="G66">
        <v>17265</v>
      </c>
      <c r="H66">
        <v>0</v>
      </c>
      <c r="I66">
        <v>2</v>
      </c>
      <c r="J66" t="s">
        <v>20</v>
      </c>
      <c r="K66" t="s">
        <v>16</v>
      </c>
      <c r="L66" t="s">
        <v>21</v>
      </c>
      <c r="M66">
        <v>207180</v>
      </c>
      <c r="N66" t="s">
        <v>45</v>
      </c>
      <c r="O66" t="s">
        <v>54</v>
      </c>
      <c r="P66" t="s">
        <v>51</v>
      </c>
    </row>
    <row r="67" spans="1:16" x14ac:dyDescent="0.2">
      <c r="A67">
        <v>66</v>
      </c>
      <c r="B67" s="2">
        <v>45081</v>
      </c>
      <c r="C67" t="s">
        <v>30</v>
      </c>
      <c r="D67" t="s">
        <v>38</v>
      </c>
      <c r="E67" t="s">
        <v>14</v>
      </c>
      <c r="F67">
        <v>38</v>
      </c>
      <c r="G67">
        <v>6054</v>
      </c>
      <c r="H67">
        <v>8</v>
      </c>
      <c r="I67">
        <v>3</v>
      </c>
      <c r="J67" t="s">
        <v>15</v>
      </c>
      <c r="K67" t="s">
        <v>27</v>
      </c>
      <c r="L67" t="s">
        <v>17</v>
      </c>
      <c r="M67">
        <v>72648</v>
      </c>
      <c r="N67" t="s">
        <v>46</v>
      </c>
      <c r="O67" t="s">
        <v>52</v>
      </c>
      <c r="P67" t="s">
        <v>55</v>
      </c>
    </row>
    <row r="68" spans="1:16" x14ac:dyDescent="0.2">
      <c r="A68">
        <v>67</v>
      </c>
      <c r="B68" s="2">
        <v>45091</v>
      </c>
      <c r="C68" t="s">
        <v>12</v>
      </c>
      <c r="D68" t="s">
        <v>41</v>
      </c>
      <c r="E68" t="s">
        <v>24</v>
      </c>
      <c r="F68">
        <v>32</v>
      </c>
      <c r="G68">
        <v>10689</v>
      </c>
      <c r="H68">
        <v>3</v>
      </c>
      <c r="I68">
        <v>2</v>
      </c>
      <c r="J68" t="s">
        <v>15</v>
      </c>
      <c r="K68" t="s">
        <v>32</v>
      </c>
      <c r="L68" t="s">
        <v>25</v>
      </c>
      <c r="M68">
        <v>128268</v>
      </c>
      <c r="N68" t="s">
        <v>46</v>
      </c>
      <c r="O68" t="s">
        <v>50</v>
      </c>
      <c r="P68" t="s">
        <v>51</v>
      </c>
    </row>
    <row r="69" spans="1:16" x14ac:dyDescent="0.2">
      <c r="A69">
        <v>68</v>
      </c>
      <c r="B69" s="2">
        <v>43667</v>
      </c>
      <c r="C69" t="s">
        <v>28</v>
      </c>
      <c r="D69" t="s">
        <v>33</v>
      </c>
      <c r="E69" t="s">
        <v>14</v>
      </c>
      <c r="F69">
        <v>34</v>
      </c>
      <c r="G69">
        <v>9058</v>
      </c>
      <c r="H69">
        <v>8</v>
      </c>
      <c r="I69">
        <v>1</v>
      </c>
      <c r="J69" t="s">
        <v>20</v>
      </c>
      <c r="K69" t="s">
        <v>32</v>
      </c>
      <c r="L69" t="s">
        <v>17</v>
      </c>
      <c r="M69">
        <v>108696</v>
      </c>
      <c r="N69" t="s">
        <v>46</v>
      </c>
      <c r="O69" t="s">
        <v>52</v>
      </c>
      <c r="P69" t="s">
        <v>51</v>
      </c>
    </row>
    <row r="70" spans="1:16" x14ac:dyDescent="0.2">
      <c r="A70">
        <v>69</v>
      </c>
      <c r="B70" s="2">
        <v>42130</v>
      </c>
      <c r="C70" t="s">
        <v>28</v>
      </c>
      <c r="D70" t="s">
        <v>33</v>
      </c>
      <c r="E70" t="s">
        <v>14</v>
      </c>
      <c r="F70">
        <v>47</v>
      </c>
      <c r="G70">
        <v>6396</v>
      </c>
      <c r="H70">
        <v>3</v>
      </c>
      <c r="I70">
        <v>4</v>
      </c>
      <c r="J70" t="s">
        <v>15</v>
      </c>
      <c r="K70" t="s">
        <v>16</v>
      </c>
      <c r="L70" t="s">
        <v>17</v>
      </c>
      <c r="M70">
        <v>76752</v>
      </c>
      <c r="N70" t="s">
        <v>47</v>
      </c>
      <c r="O70" t="s">
        <v>50</v>
      </c>
      <c r="P70" t="s">
        <v>53</v>
      </c>
    </row>
    <row r="71" spans="1:16" x14ac:dyDescent="0.2">
      <c r="A71">
        <v>70</v>
      </c>
      <c r="B71" s="2">
        <v>44657</v>
      </c>
      <c r="C71" t="s">
        <v>28</v>
      </c>
      <c r="D71" t="s">
        <v>29</v>
      </c>
      <c r="E71" t="s">
        <v>14</v>
      </c>
      <c r="F71">
        <v>33</v>
      </c>
      <c r="G71">
        <v>7268</v>
      </c>
      <c r="H71">
        <v>5</v>
      </c>
      <c r="I71">
        <v>1</v>
      </c>
      <c r="J71" t="s">
        <v>15</v>
      </c>
      <c r="K71" t="s">
        <v>32</v>
      </c>
      <c r="L71" t="s">
        <v>39</v>
      </c>
      <c r="M71">
        <v>87216</v>
      </c>
      <c r="N71" t="s">
        <v>46</v>
      </c>
      <c r="O71" t="s">
        <v>50</v>
      </c>
      <c r="P71" t="s">
        <v>51</v>
      </c>
    </row>
    <row r="72" spans="1:16" x14ac:dyDescent="0.2">
      <c r="A72">
        <v>71</v>
      </c>
      <c r="B72" s="2">
        <v>42195</v>
      </c>
      <c r="C72" t="s">
        <v>12</v>
      </c>
      <c r="D72" t="s">
        <v>41</v>
      </c>
      <c r="E72" t="s">
        <v>24</v>
      </c>
      <c r="F72">
        <v>48</v>
      </c>
      <c r="G72">
        <v>6680</v>
      </c>
      <c r="H72">
        <v>2</v>
      </c>
      <c r="I72">
        <v>3</v>
      </c>
      <c r="J72" t="s">
        <v>15</v>
      </c>
      <c r="K72" t="s">
        <v>32</v>
      </c>
      <c r="L72" t="s">
        <v>21</v>
      </c>
      <c r="M72">
        <v>80160</v>
      </c>
      <c r="N72" t="s">
        <v>47</v>
      </c>
      <c r="O72" t="s">
        <v>54</v>
      </c>
      <c r="P72" t="s">
        <v>55</v>
      </c>
    </row>
    <row r="73" spans="1:16" x14ac:dyDescent="0.2">
      <c r="A73">
        <v>72</v>
      </c>
      <c r="B73" s="2">
        <v>41628</v>
      </c>
      <c r="C73" t="s">
        <v>22</v>
      </c>
      <c r="D73" t="s">
        <v>35</v>
      </c>
      <c r="E73" t="s">
        <v>14</v>
      </c>
      <c r="F73">
        <v>23</v>
      </c>
      <c r="G73">
        <v>17474</v>
      </c>
      <c r="H73">
        <v>12</v>
      </c>
      <c r="I73">
        <v>5</v>
      </c>
      <c r="J73" t="s">
        <v>20</v>
      </c>
      <c r="K73" t="s">
        <v>27</v>
      </c>
      <c r="L73" t="s">
        <v>39</v>
      </c>
      <c r="M73">
        <v>209688</v>
      </c>
      <c r="N73" t="s">
        <v>45</v>
      </c>
      <c r="O73" t="s">
        <v>52</v>
      </c>
      <c r="P73" t="s">
        <v>53</v>
      </c>
    </row>
    <row r="74" spans="1:16" x14ac:dyDescent="0.2">
      <c r="A74">
        <v>73</v>
      </c>
      <c r="B74" s="2">
        <v>44486</v>
      </c>
      <c r="C74" t="s">
        <v>22</v>
      </c>
      <c r="D74" t="s">
        <v>23</v>
      </c>
      <c r="E74" t="s">
        <v>24</v>
      </c>
      <c r="F74">
        <v>45</v>
      </c>
      <c r="G74">
        <v>7291</v>
      </c>
      <c r="H74">
        <v>2</v>
      </c>
      <c r="I74">
        <v>3</v>
      </c>
      <c r="J74" t="s">
        <v>20</v>
      </c>
      <c r="K74" t="s">
        <v>27</v>
      </c>
      <c r="L74" t="s">
        <v>39</v>
      </c>
      <c r="M74">
        <v>87492</v>
      </c>
      <c r="N74" t="s">
        <v>46</v>
      </c>
      <c r="O74" t="s">
        <v>54</v>
      </c>
      <c r="P74" t="s">
        <v>55</v>
      </c>
    </row>
    <row r="75" spans="1:16" x14ac:dyDescent="0.2">
      <c r="A75">
        <v>74</v>
      </c>
      <c r="B75" s="2">
        <v>41422</v>
      </c>
      <c r="C75" t="s">
        <v>36</v>
      </c>
      <c r="D75" t="s">
        <v>40</v>
      </c>
      <c r="E75" t="s">
        <v>24</v>
      </c>
      <c r="F75">
        <v>57</v>
      </c>
      <c r="G75">
        <v>11608</v>
      </c>
      <c r="H75">
        <v>8</v>
      </c>
      <c r="I75">
        <v>2</v>
      </c>
      <c r="J75" t="s">
        <v>20</v>
      </c>
      <c r="K75" t="s">
        <v>16</v>
      </c>
      <c r="L75" t="s">
        <v>17</v>
      </c>
      <c r="M75">
        <v>139296</v>
      </c>
      <c r="N75" t="s">
        <v>47</v>
      </c>
      <c r="O75" t="s">
        <v>52</v>
      </c>
      <c r="P75" t="s">
        <v>51</v>
      </c>
    </row>
    <row r="76" spans="1:16" x14ac:dyDescent="0.2">
      <c r="A76">
        <v>75</v>
      </c>
      <c r="B76" s="2">
        <v>44437</v>
      </c>
      <c r="C76" t="s">
        <v>30</v>
      </c>
      <c r="D76" t="s">
        <v>38</v>
      </c>
      <c r="E76" t="s">
        <v>24</v>
      </c>
      <c r="F76">
        <v>47</v>
      </c>
      <c r="G76">
        <v>5086</v>
      </c>
      <c r="H76">
        <v>5</v>
      </c>
      <c r="I76">
        <v>2</v>
      </c>
      <c r="J76" t="s">
        <v>20</v>
      </c>
      <c r="K76" t="s">
        <v>27</v>
      </c>
      <c r="L76" t="s">
        <v>21</v>
      </c>
      <c r="M76">
        <v>61032</v>
      </c>
      <c r="N76" t="s">
        <v>47</v>
      </c>
      <c r="O76" t="s">
        <v>50</v>
      </c>
      <c r="P76" t="s">
        <v>51</v>
      </c>
    </row>
    <row r="77" spans="1:16" x14ac:dyDescent="0.2">
      <c r="A77">
        <v>76</v>
      </c>
      <c r="B77" s="2">
        <v>40762</v>
      </c>
      <c r="C77" t="s">
        <v>36</v>
      </c>
      <c r="D77" t="s">
        <v>40</v>
      </c>
      <c r="E77" t="s">
        <v>24</v>
      </c>
      <c r="F77">
        <v>52</v>
      </c>
      <c r="G77">
        <v>17987</v>
      </c>
      <c r="H77">
        <v>11</v>
      </c>
      <c r="I77">
        <v>3</v>
      </c>
      <c r="J77" t="s">
        <v>20</v>
      </c>
      <c r="K77" t="s">
        <v>16</v>
      </c>
      <c r="L77" t="s">
        <v>34</v>
      </c>
      <c r="M77">
        <v>215844</v>
      </c>
      <c r="N77" t="s">
        <v>47</v>
      </c>
      <c r="O77" t="s">
        <v>52</v>
      </c>
      <c r="P77" t="s">
        <v>55</v>
      </c>
    </row>
    <row r="78" spans="1:16" x14ac:dyDescent="0.2">
      <c r="A78">
        <v>77</v>
      </c>
      <c r="B78" s="2">
        <v>42239</v>
      </c>
      <c r="C78" t="s">
        <v>18</v>
      </c>
      <c r="D78" t="s">
        <v>26</v>
      </c>
      <c r="E78" t="s">
        <v>24</v>
      </c>
      <c r="F78">
        <v>42</v>
      </c>
      <c r="G78">
        <v>4639</v>
      </c>
      <c r="H78">
        <v>0</v>
      </c>
      <c r="I78">
        <v>4</v>
      </c>
      <c r="J78" t="s">
        <v>20</v>
      </c>
      <c r="K78" t="s">
        <v>16</v>
      </c>
      <c r="L78" t="s">
        <v>17</v>
      </c>
      <c r="M78">
        <v>55668</v>
      </c>
      <c r="N78" t="s">
        <v>46</v>
      </c>
      <c r="O78" t="s">
        <v>54</v>
      </c>
      <c r="P78" t="s">
        <v>53</v>
      </c>
    </row>
    <row r="79" spans="1:16" x14ac:dyDescent="0.2">
      <c r="A79">
        <v>78</v>
      </c>
      <c r="B79" s="2">
        <v>41730</v>
      </c>
      <c r="C79" t="s">
        <v>22</v>
      </c>
      <c r="D79" t="s">
        <v>23</v>
      </c>
      <c r="E79" t="s">
        <v>24</v>
      </c>
      <c r="F79">
        <v>23</v>
      </c>
      <c r="G79">
        <v>16916</v>
      </c>
      <c r="H79">
        <v>6</v>
      </c>
      <c r="I79">
        <v>2</v>
      </c>
      <c r="J79" t="s">
        <v>20</v>
      </c>
      <c r="K79" t="s">
        <v>27</v>
      </c>
      <c r="L79" t="s">
        <v>34</v>
      </c>
      <c r="M79">
        <v>202992</v>
      </c>
      <c r="N79" t="s">
        <v>45</v>
      </c>
      <c r="O79" t="s">
        <v>50</v>
      </c>
      <c r="P79" t="s">
        <v>51</v>
      </c>
    </row>
    <row r="80" spans="1:16" x14ac:dyDescent="0.2">
      <c r="A80">
        <v>79</v>
      </c>
      <c r="B80" s="2">
        <v>40689</v>
      </c>
      <c r="C80" t="s">
        <v>30</v>
      </c>
      <c r="D80" t="s">
        <v>38</v>
      </c>
      <c r="E80" t="s">
        <v>24</v>
      </c>
      <c r="F80">
        <v>46</v>
      </c>
      <c r="G80">
        <v>13953</v>
      </c>
      <c r="H80">
        <v>7</v>
      </c>
      <c r="I80">
        <v>4</v>
      </c>
      <c r="J80" t="s">
        <v>15</v>
      </c>
      <c r="K80" t="s">
        <v>32</v>
      </c>
      <c r="L80" t="s">
        <v>17</v>
      </c>
      <c r="M80">
        <v>167436</v>
      </c>
      <c r="N80" t="s">
        <v>47</v>
      </c>
      <c r="O80" t="s">
        <v>50</v>
      </c>
      <c r="P80" t="s">
        <v>53</v>
      </c>
    </row>
    <row r="81" spans="1:16" x14ac:dyDescent="0.2">
      <c r="A81">
        <v>80</v>
      </c>
      <c r="B81" s="2">
        <v>43684</v>
      </c>
      <c r="C81" t="s">
        <v>36</v>
      </c>
      <c r="D81" t="s">
        <v>37</v>
      </c>
      <c r="E81" t="s">
        <v>24</v>
      </c>
      <c r="F81">
        <v>36</v>
      </c>
      <c r="G81">
        <v>17768</v>
      </c>
      <c r="H81">
        <v>6</v>
      </c>
      <c r="I81">
        <v>2</v>
      </c>
      <c r="J81" t="s">
        <v>15</v>
      </c>
      <c r="K81" t="s">
        <v>27</v>
      </c>
      <c r="L81" t="s">
        <v>34</v>
      </c>
      <c r="M81">
        <v>213216</v>
      </c>
      <c r="N81" t="s">
        <v>46</v>
      </c>
      <c r="O81" t="s">
        <v>50</v>
      </c>
      <c r="P81" t="s">
        <v>51</v>
      </c>
    </row>
    <row r="82" spans="1:16" x14ac:dyDescent="0.2">
      <c r="A82">
        <v>81</v>
      </c>
      <c r="B82" s="2">
        <v>40519</v>
      </c>
      <c r="C82" t="s">
        <v>28</v>
      </c>
      <c r="D82" t="s">
        <v>33</v>
      </c>
      <c r="E82" t="s">
        <v>24</v>
      </c>
      <c r="F82">
        <v>27</v>
      </c>
      <c r="G82">
        <v>8639</v>
      </c>
      <c r="H82">
        <v>1</v>
      </c>
      <c r="I82">
        <v>3</v>
      </c>
      <c r="J82" t="s">
        <v>15</v>
      </c>
      <c r="K82" t="s">
        <v>32</v>
      </c>
      <c r="L82" t="s">
        <v>25</v>
      </c>
      <c r="M82">
        <v>103668</v>
      </c>
      <c r="N82" t="s">
        <v>45</v>
      </c>
      <c r="O82" t="s">
        <v>54</v>
      </c>
      <c r="P82" t="s">
        <v>55</v>
      </c>
    </row>
    <row r="83" spans="1:16" x14ac:dyDescent="0.2">
      <c r="A83">
        <v>82</v>
      </c>
      <c r="B83" s="2">
        <v>44448</v>
      </c>
      <c r="C83" t="s">
        <v>28</v>
      </c>
      <c r="D83" t="s">
        <v>29</v>
      </c>
      <c r="E83" t="s">
        <v>24</v>
      </c>
      <c r="F83">
        <v>45</v>
      </c>
      <c r="G83">
        <v>17468</v>
      </c>
      <c r="H83">
        <v>13</v>
      </c>
      <c r="I83">
        <v>4</v>
      </c>
      <c r="J83" t="s">
        <v>20</v>
      </c>
      <c r="K83" t="s">
        <v>27</v>
      </c>
      <c r="L83" t="s">
        <v>39</v>
      </c>
      <c r="M83">
        <v>209616</v>
      </c>
      <c r="N83" t="s">
        <v>46</v>
      </c>
      <c r="O83" t="s">
        <v>52</v>
      </c>
      <c r="P83" t="s">
        <v>53</v>
      </c>
    </row>
    <row r="84" spans="1:16" x14ac:dyDescent="0.2">
      <c r="A84">
        <v>83</v>
      </c>
      <c r="B84" s="2">
        <v>40687</v>
      </c>
      <c r="C84" t="s">
        <v>18</v>
      </c>
      <c r="D84" t="s">
        <v>19</v>
      </c>
      <c r="E84" t="s">
        <v>24</v>
      </c>
      <c r="F84">
        <v>42</v>
      </c>
      <c r="G84">
        <v>6689</v>
      </c>
      <c r="H84">
        <v>13</v>
      </c>
      <c r="I84">
        <v>4</v>
      </c>
      <c r="J84" t="s">
        <v>20</v>
      </c>
      <c r="K84" t="s">
        <v>16</v>
      </c>
      <c r="L84" t="s">
        <v>25</v>
      </c>
      <c r="M84">
        <v>80268</v>
      </c>
      <c r="N84" t="s">
        <v>46</v>
      </c>
      <c r="O84" t="s">
        <v>52</v>
      </c>
      <c r="P84" t="s">
        <v>53</v>
      </c>
    </row>
    <row r="85" spans="1:16" x14ac:dyDescent="0.2">
      <c r="A85">
        <v>84</v>
      </c>
      <c r="B85" s="2">
        <v>43222</v>
      </c>
      <c r="C85" t="s">
        <v>18</v>
      </c>
      <c r="D85" t="s">
        <v>19</v>
      </c>
      <c r="E85" t="s">
        <v>24</v>
      </c>
      <c r="F85">
        <v>58</v>
      </c>
      <c r="G85">
        <v>8586</v>
      </c>
      <c r="H85">
        <v>14</v>
      </c>
      <c r="I85">
        <v>4</v>
      </c>
      <c r="J85" t="s">
        <v>20</v>
      </c>
      <c r="K85" t="s">
        <v>27</v>
      </c>
      <c r="L85" t="s">
        <v>25</v>
      </c>
      <c r="M85">
        <v>103032</v>
      </c>
      <c r="N85" t="s">
        <v>47</v>
      </c>
      <c r="O85" t="s">
        <v>52</v>
      </c>
      <c r="P85" t="s">
        <v>53</v>
      </c>
    </row>
    <row r="86" spans="1:16" x14ac:dyDescent="0.2">
      <c r="A86">
        <v>85</v>
      </c>
      <c r="B86" s="2">
        <v>42270</v>
      </c>
      <c r="C86" t="s">
        <v>30</v>
      </c>
      <c r="D86" t="s">
        <v>31</v>
      </c>
      <c r="E86" t="s">
        <v>14</v>
      </c>
      <c r="F86">
        <v>35</v>
      </c>
      <c r="G86">
        <v>4009</v>
      </c>
      <c r="H86">
        <v>13</v>
      </c>
      <c r="I86">
        <v>1</v>
      </c>
      <c r="J86" t="s">
        <v>15</v>
      </c>
      <c r="K86" t="s">
        <v>32</v>
      </c>
      <c r="L86" t="s">
        <v>17</v>
      </c>
      <c r="M86">
        <v>48108</v>
      </c>
      <c r="N86" t="s">
        <v>46</v>
      </c>
      <c r="O86" t="s">
        <v>52</v>
      </c>
      <c r="P86" t="s">
        <v>51</v>
      </c>
    </row>
    <row r="87" spans="1:16" x14ac:dyDescent="0.2">
      <c r="A87">
        <v>86</v>
      </c>
      <c r="B87" s="2">
        <v>42282</v>
      </c>
      <c r="C87" t="s">
        <v>28</v>
      </c>
      <c r="D87" t="s">
        <v>33</v>
      </c>
      <c r="E87" t="s">
        <v>24</v>
      </c>
      <c r="F87">
        <v>49</v>
      </c>
      <c r="G87">
        <v>17447</v>
      </c>
      <c r="H87">
        <v>6</v>
      </c>
      <c r="I87">
        <v>1</v>
      </c>
      <c r="J87" t="s">
        <v>15</v>
      </c>
      <c r="K87" t="s">
        <v>16</v>
      </c>
      <c r="L87" t="s">
        <v>34</v>
      </c>
      <c r="M87">
        <v>209364</v>
      </c>
      <c r="N87" t="s">
        <v>47</v>
      </c>
      <c r="O87" t="s">
        <v>50</v>
      </c>
      <c r="P87" t="s">
        <v>51</v>
      </c>
    </row>
    <row r="88" spans="1:16" x14ac:dyDescent="0.2">
      <c r="A88">
        <v>87</v>
      </c>
      <c r="B88" s="2">
        <v>43589</v>
      </c>
      <c r="C88" t="s">
        <v>30</v>
      </c>
      <c r="D88" t="s">
        <v>31</v>
      </c>
      <c r="E88" t="s">
        <v>24</v>
      </c>
      <c r="F88">
        <v>27</v>
      </c>
      <c r="G88">
        <v>4572</v>
      </c>
      <c r="H88">
        <v>14</v>
      </c>
      <c r="I88">
        <v>2</v>
      </c>
      <c r="J88" t="s">
        <v>20</v>
      </c>
      <c r="K88" t="s">
        <v>16</v>
      </c>
      <c r="L88" t="s">
        <v>34</v>
      </c>
      <c r="M88">
        <v>54864</v>
      </c>
      <c r="N88" t="s">
        <v>45</v>
      </c>
      <c r="O88" t="s">
        <v>52</v>
      </c>
      <c r="P88" t="s">
        <v>51</v>
      </c>
    </row>
    <row r="89" spans="1:16" x14ac:dyDescent="0.2">
      <c r="A89">
        <v>88</v>
      </c>
      <c r="B89" s="2">
        <v>44524</v>
      </c>
      <c r="C89" t="s">
        <v>18</v>
      </c>
      <c r="D89" t="s">
        <v>19</v>
      </c>
      <c r="E89" t="s">
        <v>14</v>
      </c>
      <c r="F89">
        <v>46</v>
      </c>
      <c r="G89">
        <v>14937</v>
      </c>
      <c r="H89">
        <v>2</v>
      </c>
      <c r="I89">
        <v>1</v>
      </c>
      <c r="J89" t="s">
        <v>20</v>
      </c>
      <c r="K89" t="s">
        <v>16</v>
      </c>
      <c r="L89" t="s">
        <v>17</v>
      </c>
      <c r="M89">
        <v>179244</v>
      </c>
      <c r="N89" t="s">
        <v>47</v>
      </c>
      <c r="O89" t="s">
        <v>54</v>
      </c>
      <c r="P89" t="s">
        <v>51</v>
      </c>
    </row>
    <row r="90" spans="1:16" x14ac:dyDescent="0.2">
      <c r="A90">
        <v>89</v>
      </c>
      <c r="B90" s="2">
        <v>44796</v>
      </c>
      <c r="C90" t="s">
        <v>18</v>
      </c>
      <c r="D90" t="s">
        <v>19</v>
      </c>
      <c r="E90" t="s">
        <v>14</v>
      </c>
      <c r="F90">
        <v>44</v>
      </c>
      <c r="G90">
        <v>8106</v>
      </c>
      <c r="H90">
        <v>7</v>
      </c>
      <c r="I90">
        <v>3</v>
      </c>
      <c r="J90" t="s">
        <v>15</v>
      </c>
      <c r="K90" t="s">
        <v>32</v>
      </c>
      <c r="L90" t="s">
        <v>34</v>
      </c>
      <c r="M90">
        <v>97272</v>
      </c>
      <c r="N90" t="s">
        <v>46</v>
      </c>
      <c r="O90" t="s">
        <v>50</v>
      </c>
      <c r="P90" t="s">
        <v>55</v>
      </c>
    </row>
    <row r="91" spans="1:16" x14ac:dyDescent="0.2">
      <c r="A91">
        <v>90</v>
      </c>
      <c r="B91" s="2">
        <v>44082</v>
      </c>
      <c r="C91" t="s">
        <v>36</v>
      </c>
      <c r="D91" t="s">
        <v>37</v>
      </c>
      <c r="E91" t="s">
        <v>24</v>
      </c>
      <c r="F91">
        <v>43</v>
      </c>
      <c r="G91">
        <v>14979</v>
      </c>
      <c r="H91">
        <v>7</v>
      </c>
      <c r="I91">
        <v>1</v>
      </c>
      <c r="J91" t="s">
        <v>15</v>
      </c>
      <c r="K91" t="s">
        <v>16</v>
      </c>
      <c r="L91" t="s">
        <v>21</v>
      </c>
      <c r="M91">
        <v>179748</v>
      </c>
      <c r="N91" t="s">
        <v>46</v>
      </c>
      <c r="O91" t="s">
        <v>50</v>
      </c>
      <c r="P91" t="s">
        <v>51</v>
      </c>
    </row>
    <row r="92" spans="1:16" x14ac:dyDescent="0.2">
      <c r="A92">
        <v>91</v>
      </c>
      <c r="B92" s="2">
        <v>43565</v>
      </c>
      <c r="C92" t="s">
        <v>22</v>
      </c>
      <c r="D92" t="s">
        <v>35</v>
      </c>
      <c r="E92" t="s">
        <v>14</v>
      </c>
      <c r="F92">
        <v>35</v>
      </c>
      <c r="G92">
        <v>11823</v>
      </c>
      <c r="H92">
        <v>7</v>
      </c>
      <c r="I92">
        <v>5</v>
      </c>
      <c r="J92" t="s">
        <v>20</v>
      </c>
      <c r="K92" t="s">
        <v>27</v>
      </c>
      <c r="L92" t="s">
        <v>39</v>
      </c>
      <c r="M92">
        <v>141876</v>
      </c>
      <c r="N92" t="s">
        <v>46</v>
      </c>
      <c r="O92" t="s">
        <v>50</v>
      </c>
      <c r="P92" t="s">
        <v>53</v>
      </c>
    </row>
    <row r="93" spans="1:16" x14ac:dyDescent="0.2">
      <c r="A93">
        <v>92</v>
      </c>
      <c r="B93" s="2">
        <v>42469</v>
      </c>
      <c r="C93" t="s">
        <v>12</v>
      </c>
      <c r="D93" t="s">
        <v>41</v>
      </c>
      <c r="E93" t="s">
        <v>14</v>
      </c>
      <c r="F93">
        <v>38</v>
      </c>
      <c r="G93">
        <v>16396</v>
      </c>
      <c r="H93">
        <v>2</v>
      </c>
      <c r="I93">
        <v>2</v>
      </c>
      <c r="J93" t="s">
        <v>15</v>
      </c>
      <c r="K93" t="s">
        <v>16</v>
      </c>
      <c r="L93" t="s">
        <v>21</v>
      </c>
      <c r="M93">
        <v>196752</v>
      </c>
      <c r="N93" t="s">
        <v>46</v>
      </c>
      <c r="O93" t="s">
        <v>54</v>
      </c>
      <c r="P93" t="s">
        <v>51</v>
      </c>
    </row>
    <row r="94" spans="1:16" x14ac:dyDescent="0.2">
      <c r="A94">
        <v>93</v>
      </c>
      <c r="B94" s="2">
        <v>40794</v>
      </c>
      <c r="C94" t="s">
        <v>12</v>
      </c>
      <c r="D94" t="s">
        <v>13</v>
      </c>
      <c r="E94" t="s">
        <v>24</v>
      </c>
      <c r="F94">
        <v>24</v>
      </c>
      <c r="G94">
        <v>14159</v>
      </c>
      <c r="H94">
        <v>2</v>
      </c>
      <c r="I94">
        <v>3</v>
      </c>
      <c r="J94" t="s">
        <v>20</v>
      </c>
      <c r="K94" t="s">
        <v>32</v>
      </c>
      <c r="L94" t="s">
        <v>17</v>
      </c>
      <c r="M94">
        <v>169908</v>
      </c>
      <c r="N94" t="s">
        <v>45</v>
      </c>
      <c r="O94" t="s">
        <v>54</v>
      </c>
      <c r="P94" t="s">
        <v>55</v>
      </c>
    </row>
    <row r="95" spans="1:16" x14ac:dyDescent="0.2">
      <c r="A95">
        <v>94</v>
      </c>
      <c r="B95" s="2">
        <v>43921</v>
      </c>
      <c r="C95" t="s">
        <v>18</v>
      </c>
      <c r="D95" t="s">
        <v>19</v>
      </c>
      <c r="E95" t="s">
        <v>14</v>
      </c>
      <c r="F95">
        <v>60</v>
      </c>
      <c r="G95">
        <v>12069</v>
      </c>
      <c r="H95">
        <v>6</v>
      </c>
      <c r="I95">
        <v>1</v>
      </c>
      <c r="J95" t="s">
        <v>20</v>
      </c>
      <c r="K95" t="s">
        <v>27</v>
      </c>
      <c r="L95" t="s">
        <v>25</v>
      </c>
      <c r="M95">
        <v>144828</v>
      </c>
      <c r="N95" t="s">
        <v>47</v>
      </c>
      <c r="O95" t="s">
        <v>50</v>
      </c>
      <c r="P95" t="s">
        <v>51</v>
      </c>
    </row>
    <row r="96" spans="1:16" x14ac:dyDescent="0.2">
      <c r="A96">
        <v>95</v>
      </c>
      <c r="B96" s="2">
        <v>41130</v>
      </c>
      <c r="C96" t="s">
        <v>30</v>
      </c>
      <c r="D96" t="s">
        <v>38</v>
      </c>
      <c r="E96" t="s">
        <v>24</v>
      </c>
      <c r="F96">
        <v>56</v>
      </c>
      <c r="G96">
        <v>4304</v>
      </c>
      <c r="H96">
        <v>13</v>
      </c>
      <c r="I96">
        <v>1</v>
      </c>
      <c r="J96" t="s">
        <v>15</v>
      </c>
      <c r="K96" t="s">
        <v>27</v>
      </c>
      <c r="L96" t="s">
        <v>39</v>
      </c>
      <c r="M96">
        <v>51648</v>
      </c>
      <c r="N96" t="s">
        <v>47</v>
      </c>
      <c r="O96" t="s">
        <v>52</v>
      </c>
      <c r="P96" t="s">
        <v>51</v>
      </c>
    </row>
    <row r="97" spans="1:16" x14ac:dyDescent="0.2">
      <c r="A97">
        <v>96</v>
      </c>
      <c r="B97" s="2">
        <v>40313</v>
      </c>
      <c r="C97" t="s">
        <v>36</v>
      </c>
      <c r="D97" t="s">
        <v>37</v>
      </c>
      <c r="E97" t="s">
        <v>24</v>
      </c>
      <c r="F97">
        <v>33</v>
      </c>
      <c r="G97">
        <v>17893</v>
      </c>
      <c r="H97">
        <v>10</v>
      </c>
      <c r="I97">
        <v>2</v>
      </c>
      <c r="J97" t="s">
        <v>15</v>
      </c>
      <c r="K97" t="s">
        <v>32</v>
      </c>
      <c r="L97" t="s">
        <v>17</v>
      </c>
      <c r="M97">
        <v>214716</v>
      </c>
      <c r="N97" t="s">
        <v>46</v>
      </c>
      <c r="O97" t="s">
        <v>52</v>
      </c>
      <c r="P97" t="s">
        <v>51</v>
      </c>
    </row>
    <row r="98" spans="1:16" x14ac:dyDescent="0.2">
      <c r="A98">
        <v>97</v>
      </c>
      <c r="B98" s="2">
        <v>42989</v>
      </c>
      <c r="C98" t="s">
        <v>22</v>
      </c>
      <c r="D98" t="s">
        <v>23</v>
      </c>
      <c r="E98" t="s">
        <v>24</v>
      </c>
      <c r="F98">
        <v>32</v>
      </c>
      <c r="G98">
        <v>19440</v>
      </c>
      <c r="H98">
        <v>10</v>
      </c>
      <c r="I98">
        <v>4</v>
      </c>
      <c r="J98" t="s">
        <v>20</v>
      </c>
      <c r="K98" t="s">
        <v>32</v>
      </c>
      <c r="L98" t="s">
        <v>21</v>
      </c>
      <c r="M98">
        <v>233280</v>
      </c>
      <c r="N98" t="s">
        <v>46</v>
      </c>
      <c r="O98" t="s">
        <v>52</v>
      </c>
      <c r="P98" t="s">
        <v>53</v>
      </c>
    </row>
    <row r="99" spans="1:16" x14ac:dyDescent="0.2">
      <c r="A99">
        <v>98</v>
      </c>
      <c r="B99" s="2">
        <v>43220</v>
      </c>
      <c r="C99" t="s">
        <v>18</v>
      </c>
      <c r="D99" t="s">
        <v>26</v>
      </c>
      <c r="E99" t="s">
        <v>24</v>
      </c>
      <c r="F99">
        <v>28</v>
      </c>
      <c r="G99">
        <v>6435</v>
      </c>
      <c r="H99">
        <v>8</v>
      </c>
      <c r="I99">
        <v>5</v>
      </c>
      <c r="J99" t="s">
        <v>20</v>
      </c>
      <c r="K99" t="s">
        <v>16</v>
      </c>
      <c r="L99" t="s">
        <v>21</v>
      </c>
      <c r="M99">
        <v>77220</v>
      </c>
      <c r="N99" t="s">
        <v>45</v>
      </c>
      <c r="O99" t="s">
        <v>52</v>
      </c>
      <c r="P99" t="s">
        <v>53</v>
      </c>
    </row>
    <row r="100" spans="1:16" x14ac:dyDescent="0.2">
      <c r="A100">
        <v>99</v>
      </c>
      <c r="B100" s="2">
        <v>44237</v>
      </c>
      <c r="C100" t="s">
        <v>28</v>
      </c>
      <c r="D100" t="s">
        <v>29</v>
      </c>
      <c r="E100" t="s">
        <v>24</v>
      </c>
      <c r="F100">
        <v>22</v>
      </c>
      <c r="G100">
        <v>16208</v>
      </c>
      <c r="H100">
        <v>0</v>
      </c>
      <c r="I100">
        <v>5</v>
      </c>
      <c r="J100" t="s">
        <v>20</v>
      </c>
      <c r="K100" t="s">
        <v>16</v>
      </c>
      <c r="L100" t="s">
        <v>21</v>
      </c>
      <c r="M100">
        <v>194496</v>
      </c>
      <c r="N100" t="s">
        <v>45</v>
      </c>
      <c r="O100" t="s">
        <v>54</v>
      </c>
      <c r="P100" t="s">
        <v>53</v>
      </c>
    </row>
    <row r="101" spans="1:16" x14ac:dyDescent="0.2">
      <c r="A101">
        <v>100</v>
      </c>
      <c r="B101" s="2">
        <v>44393</v>
      </c>
      <c r="C101" t="s">
        <v>36</v>
      </c>
      <c r="D101" t="s">
        <v>42</v>
      </c>
      <c r="E101" t="s">
        <v>24</v>
      </c>
      <c r="F101">
        <v>35</v>
      </c>
      <c r="G101">
        <v>13671</v>
      </c>
      <c r="H101">
        <v>7</v>
      </c>
      <c r="I101">
        <v>2</v>
      </c>
      <c r="J101" t="s">
        <v>20</v>
      </c>
      <c r="K101" t="s">
        <v>27</v>
      </c>
      <c r="L101" t="s">
        <v>25</v>
      </c>
      <c r="M101">
        <v>164052</v>
      </c>
      <c r="N101" t="s">
        <v>46</v>
      </c>
      <c r="O101" t="s">
        <v>50</v>
      </c>
      <c r="P101" t="s">
        <v>51</v>
      </c>
    </row>
    <row r="102" spans="1:16" x14ac:dyDescent="0.2">
      <c r="A102">
        <v>101</v>
      </c>
      <c r="B102" s="2">
        <v>41043</v>
      </c>
      <c r="C102" t="s">
        <v>18</v>
      </c>
      <c r="D102" t="s">
        <v>26</v>
      </c>
      <c r="E102" t="s">
        <v>24</v>
      </c>
      <c r="F102">
        <v>50</v>
      </c>
      <c r="G102">
        <v>4165</v>
      </c>
      <c r="H102">
        <v>4</v>
      </c>
      <c r="I102">
        <v>4</v>
      </c>
      <c r="J102" t="s">
        <v>20</v>
      </c>
      <c r="K102" t="s">
        <v>32</v>
      </c>
      <c r="L102" t="s">
        <v>25</v>
      </c>
      <c r="M102">
        <v>49980</v>
      </c>
      <c r="N102" t="s">
        <v>47</v>
      </c>
      <c r="O102" t="s">
        <v>50</v>
      </c>
      <c r="P102" t="s">
        <v>53</v>
      </c>
    </row>
    <row r="103" spans="1:16" x14ac:dyDescent="0.2">
      <c r="A103">
        <v>102</v>
      </c>
      <c r="B103" s="2">
        <v>44496</v>
      </c>
      <c r="C103" t="s">
        <v>22</v>
      </c>
      <c r="D103" t="s">
        <v>35</v>
      </c>
      <c r="E103" t="s">
        <v>24</v>
      </c>
      <c r="F103">
        <v>28</v>
      </c>
      <c r="G103">
        <v>8739</v>
      </c>
      <c r="H103">
        <v>2</v>
      </c>
      <c r="I103">
        <v>2</v>
      </c>
      <c r="J103" t="s">
        <v>20</v>
      </c>
      <c r="K103" t="s">
        <v>27</v>
      </c>
      <c r="L103" t="s">
        <v>25</v>
      </c>
      <c r="M103">
        <v>104868</v>
      </c>
      <c r="N103" t="s">
        <v>45</v>
      </c>
      <c r="O103" t="s">
        <v>54</v>
      </c>
      <c r="P103" t="s">
        <v>51</v>
      </c>
    </row>
    <row r="104" spans="1:16" x14ac:dyDescent="0.2">
      <c r="A104">
        <v>103</v>
      </c>
      <c r="B104" s="2">
        <v>41051</v>
      </c>
      <c r="C104" t="s">
        <v>18</v>
      </c>
      <c r="D104" t="s">
        <v>26</v>
      </c>
      <c r="E104" t="s">
        <v>14</v>
      </c>
      <c r="F104">
        <v>56</v>
      </c>
      <c r="G104">
        <v>9092</v>
      </c>
      <c r="H104">
        <v>11</v>
      </c>
      <c r="I104">
        <v>2</v>
      </c>
      <c r="J104" t="s">
        <v>15</v>
      </c>
      <c r="K104" t="s">
        <v>32</v>
      </c>
      <c r="L104" t="s">
        <v>34</v>
      </c>
      <c r="M104">
        <v>109104</v>
      </c>
      <c r="N104" t="s">
        <v>47</v>
      </c>
      <c r="O104" t="s">
        <v>52</v>
      </c>
      <c r="P104" t="s">
        <v>51</v>
      </c>
    </row>
    <row r="105" spans="1:16" x14ac:dyDescent="0.2">
      <c r="A105">
        <v>104</v>
      </c>
      <c r="B105" s="2">
        <v>42650</v>
      </c>
      <c r="C105" t="s">
        <v>36</v>
      </c>
      <c r="D105" t="s">
        <v>37</v>
      </c>
      <c r="E105" t="s">
        <v>14</v>
      </c>
      <c r="F105">
        <v>48</v>
      </c>
      <c r="G105">
        <v>4013</v>
      </c>
      <c r="H105">
        <v>6</v>
      </c>
      <c r="I105">
        <v>2</v>
      </c>
      <c r="J105" t="s">
        <v>20</v>
      </c>
      <c r="K105" t="s">
        <v>32</v>
      </c>
      <c r="L105" t="s">
        <v>25</v>
      </c>
      <c r="M105">
        <v>48156</v>
      </c>
      <c r="N105" t="s">
        <v>47</v>
      </c>
      <c r="O105" t="s">
        <v>50</v>
      </c>
      <c r="P105" t="s">
        <v>51</v>
      </c>
    </row>
    <row r="106" spans="1:16" x14ac:dyDescent="0.2">
      <c r="A106">
        <v>105</v>
      </c>
      <c r="B106" s="2">
        <v>40675</v>
      </c>
      <c r="C106" t="s">
        <v>12</v>
      </c>
      <c r="D106" t="s">
        <v>13</v>
      </c>
      <c r="E106" t="s">
        <v>14</v>
      </c>
      <c r="F106">
        <v>42</v>
      </c>
      <c r="G106">
        <v>5370</v>
      </c>
      <c r="H106">
        <v>9</v>
      </c>
      <c r="I106">
        <v>5</v>
      </c>
      <c r="J106" t="s">
        <v>15</v>
      </c>
      <c r="K106" t="s">
        <v>32</v>
      </c>
      <c r="L106" t="s">
        <v>39</v>
      </c>
      <c r="M106">
        <v>64440</v>
      </c>
      <c r="N106" t="s">
        <v>46</v>
      </c>
      <c r="O106" t="s">
        <v>52</v>
      </c>
      <c r="P106" t="s">
        <v>53</v>
      </c>
    </row>
    <row r="107" spans="1:16" x14ac:dyDescent="0.2">
      <c r="A107">
        <v>106</v>
      </c>
      <c r="B107" s="2">
        <v>42919</v>
      </c>
      <c r="C107" t="s">
        <v>18</v>
      </c>
      <c r="D107" t="s">
        <v>19</v>
      </c>
      <c r="E107" t="s">
        <v>24</v>
      </c>
      <c r="F107">
        <v>47</v>
      </c>
      <c r="G107">
        <v>5436</v>
      </c>
      <c r="H107">
        <v>4</v>
      </c>
      <c r="I107">
        <v>4</v>
      </c>
      <c r="J107" t="s">
        <v>15</v>
      </c>
      <c r="K107" t="s">
        <v>32</v>
      </c>
      <c r="L107" t="s">
        <v>21</v>
      </c>
      <c r="M107">
        <v>65232</v>
      </c>
      <c r="N107" t="s">
        <v>47</v>
      </c>
      <c r="O107" t="s">
        <v>50</v>
      </c>
      <c r="P107" t="s">
        <v>53</v>
      </c>
    </row>
    <row r="108" spans="1:16" x14ac:dyDescent="0.2">
      <c r="A108">
        <v>107</v>
      </c>
      <c r="B108" s="2">
        <v>45048</v>
      </c>
      <c r="C108" t="s">
        <v>18</v>
      </c>
      <c r="D108" t="s">
        <v>19</v>
      </c>
      <c r="E108" t="s">
        <v>14</v>
      </c>
      <c r="F108">
        <v>23</v>
      </c>
      <c r="G108">
        <v>4463</v>
      </c>
      <c r="H108">
        <v>7</v>
      </c>
      <c r="I108">
        <v>2</v>
      </c>
      <c r="J108" t="s">
        <v>20</v>
      </c>
      <c r="K108" t="s">
        <v>32</v>
      </c>
      <c r="L108" t="s">
        <v>39</v>
      </c>
      <c r="M108">
        <v>53556</v>
      </c>
      <c r="N108" t="s">
        <v>45</v>
      </c>
      <c r="O108" t="s">
        <v>50</v>
      </c>
      <c r="P108" t="s">
        <v>51</v>
      </c>
    </row>
    <row r="109" spans="1:16" x14ac:dyDescent="0.2">
      <c r="A109">
        <v>108</v>
      </c>
      <c r="B109" s="2">
        <v>42197</v>
      </c>
      <c r="C109" t="s">
        <v>18</v>
      </c>
      <c r="D109" t="s">
        <v>26</v>
      </c>
      <c r="E109" t="s">
        <v>14</v>
      </c>
      <c r="F109">
        <v>60</v>
      </c>
      <c r="G109">
        <v>9428</v>
      </c>
      <c r="H109">
        <v>8</v>
      </c>
      <c r="I109">
        <v>5</v>
      </c>
      <c r="J109" t="s">
        <v>15</v>
      </c>
      <c r="K109" t="s">
        <v>27</v>
      </c>
      <c r="L109" t="s">
        <v>17</v>
      </c>
      <c r="M109">
        <v>113136</v>
      </c>
      <c r="N109" t="s">
        <v>47</v>
      </c>
      <c r="O109" t="s">
        <v>52</v>
      </c>
      <c r="P109" t="s">
        <v>53</v>
      </c>
    </row>
    <row r="110" spans="1:16" x14ac:dyDescent="0.2">
      <c r="A110">
        <v>109</v>
      </c>
      <c r="B110" s="2">
        <v>45039</v>
      </c>
      <c r="C110" t="s">
        <v>28</v>
      </c>
      <c r="D110" t="s">
        <v>29</v>
      </c>
      <c r="E110" t="s">
        <v>24</v>
      </c>
      <c r="F110">
        <v>52</v>
      </c>
      <c r="G110">
        <v>8345</v>
      </c>
      <c r="H110">
        <v>8</v>
      </c>
      <c r="I110">
        <v>3</v>
      </c>
      <c r="J110" t="s">
        <v>15</v>
      </c>
      <c r="K110" t="s">
        <v>32</v>
      </c>
      <c r="L110" t="s">
        <v>25</v>
      </c>
      <c r="M110">
        <v>100140</v>
      </c>
      <c r="N110" t="s">
        <v>47</v>
      </c>
      <c r="O110" t="s">
        <v>52</v>
      </c>
      <c r="P110" t="s">
        <v>55</v>
      </c>
    </row>
    <row r="111" spans="1:16" x14ac:dyDescent="0.2">
      <c r="A111">
        <v>110</v>
      </c>
      <c r="B111" s="2">
        <v>43278</v>
      </c>
      <c r="C111" t="s">
        <v>12</v>
      </c>
      <c r="D111" t="s">
        <v>13</v>
      </c>
      <c r="E111" t="s">
        <v>14</v>
      </c>
      <c r="F111">
        <v>44</v>
      </c>
      <c r="G111">
        <v>11736</v>
      </c>
      <c r="H111">
        <v>15</v>
      </c>
      <c r="I111">
        <v>4</v>
      </c>
      <c r="J111" t="s">
        <v>20</v>
      </c>
      <c r="K111" t="s">
        <v>27</v>
      </c>
      <c r="L111" t="s">
        <v>25</v>
      </c>
      <c r="M111">
        <v>140832</v>
      </c>
      <c r="N111" t="s">
        <v>46</v>
      </c>
      <c r="O111" t="s">
        <v>52</v>
      </c>
      <c r="P111" t="s">
        <v>53</v>
      </c>
    </row>
    <row r="112" spans="1:16" x14ac:dyDescent="0.2">
      <c r="A112">
        <v>111</v>
      </c>
      <c r="B112" s="2">
        <v>44430</v>
      </c>
      <c r="C112" t="s">
        <v>30</v>
      </c>
      <c r="D112" t="s">
        <v>38</v>
      </c>
      <c r="E112" t="s">
        <v>14</v>
      </c>
      <c r="F112">
        <v>38</v>
      </c>
      <c r="G112">
        <v>17026</v>
      </c>
      <c r="H112">
        <v>11</v>
      </c>
      <c r="I112">
        <v>3</v>
      </c>
      <c r="J112" t="s">
        <v>20</v>
      </c>
      <c r="K112" t="s">
        <v>27</v>
      </c>
      <c r="L112" t="s">
        <v>21</v>
      </c>
      <c r="M112">
        <v>204312</v>
      </c>
      <c r="N112" t="s">
        <v>46</v>
      </c>
      <c r="O112" t="s">
        <v>52</v>
      </c>
      <c r="P112" t="s">
        <v>55</v>
      </c>
    </row>
    <row r="113" spans="1:16" x14ac:dyDescent="0.2">
      <c r="A113">
        <v>112</v>
      </c>
      <c r="B113" s="2">
        <v>40642</v>
      </c>
      <c r="C113" t="s">
        <v>12</v>
      </c>
      <c r="D113" t="s">
        <v>13</v>
      </c>
      <c r="E113" t="s">
        <v>24</v>
      </c>
      <c r="F113">
        <v>43</v>
      </c>
      <c r="G113">
        <v>12957</v>
      </c>
      <c r="H113">
        <v>9</v>
      </c>
      <c r="I113">
        <v>2</v>
      </c>
      <c r="J113" t="s">
        <v>20</v>
      </c>
      <c r="K113" t="s">
        <v>32</v>
      </c>
      <c r="L113" t="s">
        <v>39</v>
      </c>
      <c r="M113">
        <v>155484</v>
      </c>
      <c r="N113" t="s">
        <v>46</v>
      </c>
      <c r="O113" t="s">
        <v>52</v>
      </c>
      <c r="P113" t="s">
        <v>51</v>
      </c>
    </row>
    <row r="114" spans="1:16" x14ac:dyDescent="0.2">
      <c r="A114">
        <v>113</v>
      </c>
      <c r="B114" s="2">
        <v>40272</v>
      </c>
      <c r="C114" t="s">
        <v>18</v>
      </c>
      <c r="D114" t="s">
        <v>26</v>
      </c>
      <c r="E114" t="s">
        <v>14</v>
      </c>
      <c r="F114">
        <v>52</v>
      </c>
      <c r="G114">
        <v>19668</v>
      </c>
      <c r="H114">
        <v>2</v>
      </c>
      <c r="I114">
        <v>3</v>
      </c>
      <c r="J114" t="s">
        <v>20</v>
      </c>
      <c r="K114" t="s">
        <v>32</v>
      </c>
      <c r="L114" t="s">
        <v>34</v>
      </c>
      <c r="M114">
        <v>236016</v>
      </c>
      <c r="N114" t="s">
        <v>47</v>
      </c>
      <c r="O114" t="s">
        <v>54</v>
      </c>
      <c r="P114" t="s">
        <v>55</v>
      </c>
    </row>
    <row r="115" spans="1:16" x14ac:dyDescent="0.2">
      <c r="A115">
        <v>114</v>
      </c>
      <c r="B115" s="2">
        <v>44607</v>
      </c>
      <c r="C115" t="s">
        <v>22</v>
      </c>
      <c r="D115" t="s">
        <v>23</v>
      </c>
      <c r="E115" t="s">
        <v>24</v>
      </c>
      <c r="F115">
        <v>44</v>
      </c>
      <c r="G115">
        <v>16327</v>
      </c>
      <c r="H115">
        <v>10</v>
      </c>
      <c r="I115">
        <v>2</v>
      </c>
      <c r="J115" t="s">
        <v>20</v>
      </c>
      <c r="K115" t="s">
        <v>27</v>
      </c>
      <c r="L115" t="s">
        <v>17</v>
      </c>
      <c r="M115">
        <v>195924</v>
      </c>
      <c r="N115" t="s">
        <v>46</v>
      </c>
      <c r="O115" t="s">
        <v>52</v>
      </c>
      <c r="P115" t="s">
        <v>51</v>
      </c>
    </row>
    <row r="116" spans="1:16" x14ac:dyDescent="0.2">
      <c r="A116">
        <v>115</v>
      </c>
      <c r="B116" s="2">
        <v>40625</v>
      </c>
      <c r="C116" t="s">
        <v>18</v>
      </c>
      <c r="D116" t="s">
        <v>19</v>
      </c>
      <c r="E116" t="s">
        <v>24</v>
      </c>
      <c r="F116">
        <v>23</v>
      </c>
      <c r="G116">
        <v>4421</v>
      </c>
      <c r="H116">
        <v>4</v>
      </c>
      <c r="I116">
        <v>3</v>
      </c>
      <c r="J116" t="s">
        <v>15</v>
      </c>
      <c r="K116" t="s">
        <v>27</v>
      </c>
      <c r="L116" t="s">
        <v>39</v>
      </c>
      <c r="M116">
        <v>53052</v>
      </c>
      <c r="N116" t="s">
        <v>45</v>
      </c>
      <c r="O116" t="s">
        <v>50</v>
      </c>
      <c r="P116" t="s">
        <v>55</v>
      </c>
    </row>
    <row r="117" spans="1:16" x14ac:dyDescent="0.2">
      <c r="A117">
        <v>116</v>
      </c>
      <c r="B117" s="2">
        <v>45118</v>
      </c>
      <c r="C117" t="s">
        <v>12</v>
      </c>
      <c r="D117" t="s">
        <v>13</v>
      </c>
      <c r="E117" t="s">
        <v>14</v>
      </c>
      <c r="F117">
        <v>43</v>
      </c>
      <c r="G117">
        <v>9502</v>
      </c>
      <c r="H117">
        <v>7</v>
      </c>
      <c r="I117">
        <v>1</v>
      </c>
      <c r="J117" t="s">
        <v>15</v>
      </c>
      <c r="K117" t="s">
        <v>16</v>
      </c>
      <c r="L117" t="s">
        <v>34</v>
      </c>
      <c r="M117">
        <v>114024</v>
      </c>
      <c r="N117" t="s">
        <v>46</v>
      </c>
      <c r="O117" t="s">
        <v>50</v>
      </c>
      <c r="P117" t="s">
        <v>51</v>
      </c>
    </row>
    <row r="118" spans="1:16" x14ac:dyDescent="0.2">
      <c r="A118">
        <v>117</v>
      </c>
      <c r="B118" s="2">
        <v>41477</v>
      </c>
      <c r="C118" t="s">
        <v>12</v>
      </c>
      <c r="D118" t="s">
        <v>13</v>
      </c>
      <c r="E118" t="s">
        <v>14</v>
      </c>
      <c r="F118">
        <v>59</v>
      </c>
      <c r="G118">
        <v>17664</v>
      </c>
      <c r="H118">
        <v>14</v>
      </c>
      <c r="I118">
        <v>4</v>
      </c>
      <c r="J118" t="s">
        <v>20</v>
      </c>
      <c r="K118" t="s">
        <v>16</v>
      </c>
      <c r="L118" t="s">
        <v>25</v>
      </c>
      <c r="M118">
        <v>211968</v>
      </c>
      <c r="N118" t="s">
        <v>47</v>
      </c>
      <c r="O118" t="s">
        <v>52</v>
      </c>
      <c r="P118" t="s">
        <v>53</v>
      </c>
    </row>
    <row r="119" spans="1:16" x14ac:dyDescent="0.2">
      <c r="A119">
        <v>118</v>
      </c>
      <c r="B119" s="2">
        <v>43624</v>
      </c>
      <c r="C119" t="s">
        <v>30</v>
      </c>
      <c r="D119" t="s">
        <v>31</v>
      </c>
      <c r="E119" t="s">
        <v>14</v>
      </c>
      <c r="F119">
        <v>39</v>
      </c>
      <c r="G119">
        <v>16040</v>
      </c>
      <c r="H119">
        <v>0</v>
      </c>
      <c r="I119">
        <v>1</v>
      </c>
      <c r="J119" t="s">
        <v>15</v>
      </c>
      <c r="K119" t="s">
        <v>32</v>
      </c>
      <c r="L119" t="s">
        <v>17</v>
      </c>
      <c r="M119">
        <v>192480</v>
      </c>
      <c r="N119" t="s">
        <v>46</v>
      </c>
      <c r="O119" t="s">
        <v>54</v>
      </c>
      <c r="P119" t="s">
        <v>51</v>
      </c>
    </row>
    <row r="120" spans="1:16" x14ac:dyDescent="0.2">
      <c r="A120">
        <v>119</v>
      </c>
      <c r="B120" s="2">
        <v>41106</v>
      </c>
      <c r="C120" t="s">
        <v>36</v>
      </c>
      <c r="D120" t="s">
        <v>37</v>
      </c>
      <c r="E120" t="s">
        <v>24</v>
      </c>
      <c r="F120">
        <v>50</v>
      </c>
      <c r="G120">
        <v>10952</v>
      </c>
      <c r="H120">
        <v>6</v>
      </c>
      <c r="I120">
        <v>5</v>
      </c>
      <c r="J120" t="s">
        <v>20</v>
      </c>
      <c r="K120" t="s">
        <v>32</v>
      </c>
      <c r="L120" t="s">
        <v>39</v>
      </c>
      <c r="M120">
        <v>131424</v>
      </c>
      <c r="N120" t="s">
        <v>47</v>
      </c>
      <c r="O120" t="s">
        <v>50</v>
      </c>
      <c r="P120" t="s">
        <v>53</v>
      </c>
    </row>
    <row r="121" spans="1:16" x14ac:dyDescent="0.2">
      <c r="A121">
        <v>120</v>
      </c>
      <c r="B121" s="2">
        <v>41840</v>
      </c>
      <c r="C121" t="s">
        <v>12</v>
      </c>
      <c r="D121" t="s">
        <v>13</v>
      </c>
      <c r="E121" t="s">
        <v>14</v>
      </c>
      <c r="F121">
        <v>23</v>
      </c>
      <c r="G121">
        <v>16765</v>
      </c>
      <c r="H121">
        <v>14</v>
      </c>
      <c r="I121">
        <v>3</v>
      </c>
      <c r="J121" t="s">
        <v>20</v>
      </c>
      <c r="K121" t="s">
        <v>27</v>
      </c>
      <c r="L121" t="s">
        <v>25</v>
      </c>
      <c r="M121">
        <v>201180</v>
      </c>
      <c r="N121" t="s">
        <v>45</v>
      </c>
      <c r="O121" t="s">
        <v>52</v>
      </c>
      <c r="P121" t="s">
        <v>55</v>
      </c>
    </row>
    <row r="122" spans="1:16" x14ac:dyDescent="0.2">
      <c r="A122">
        <v>121</v>
      </c>
      <c r="B122" s="2">
        <v>40643</v>
      </c>
      <c r="C122" t="s">
        <v>18</v>
      </c>
      <c r="D122" t="s">
        <v>26</v>
      </c>
      <c r="E122" t="s">
        <v>24</v>
      </c>
      <c r="F122">
        <v>28</v>
      </c>
      <c r="G122">
        <v>8191</v>
      </c>
      <c r="H122">
        <v>14</v>
      </c>
      <c r="I122">
        <v>4</v>
      </c>
      <c r="J122" t="s">
        <v>15</v>
      </c>
      <c r="K122" t="s">
        <v>16</v>
      </c>
      <c r="L122" t="s">
        <v>25</v>
      </c>
      <c r="M122">
        <v>98292</v>
      </c>
      <c r="N122" t="s">
        <v>45</v>
      </c>
      <c r="O122" t="s">
        <v>52</v>
      </c>
      <c r="P122" t="s">
        <v>53</v>
      </c>
    </row>
    <row r="123" spans="1:16" x14ac:dyDescent="0.2">
      <c r="A123">
        <v>122</v>
      </c>
      <c r="B123" s="2">
        <v>42697</v>
      </c>
      <c r="C123" t="s">
        <v>36</v>
      </c>
      <c r="D123" t="s">
        <v>37</v>
      </c>
      <c r="E123" t="s">
        <v>24</v>
      </c>
      <c r="F123">
        <v>49</v>
      </c>
      <c r="G123">
        <v>12471</v>
      </c>
      <c r="H123">
        <v>10</v>
      </c>
      <c r="I123">
        <v>3</v>
      </c>
      <c r="J123" t="s">
        <v>15</v>
      </c>
      <c r="K123" t="s">
        <v>16</v>
      </c>
      <c r="L123" t="s">
        <v>21</v>
      </c>
      <c r="M123">
        <v>149652</v>
      </c>
      <c r="N123" t="s">
        <v>47</v>
      </c>
      <c r="O123" t="s">
        <v>52</v>
      </c>
      <c r="P123" t="s">
        <v>55</v>
      </c>
    </row>
    <row r="124" spans="1:16" x14ac:dyDescent="0.2">
      <c r="A124">
        <v>123</v>
      </c>
      <c r="B124" s="2">
        <v>44066</v>
      </c>
      <c r="C124" t="s">
        <v>18</v>
      </c>
      <c r="D124" t="s">
        <v>19</v>
      </c>
      <c r="E124" t="s">
        <v>14</v>
      </c>
      <c r="F124">
        <v>22</v>
      </c>
      <c r="G124">
        <v>6541</v>
      </c>
      <c r="H124">
        <v>14</v>
      </c>
      <c r="I124">
        <v>5</v>
      </c>
      <c r="J124" t="s">
        <v>20</v>
      </c>
      <c r="K124" t="s">
        <v>32</v>
      </c>
      <c r="L124" t="s">
        <v>34</v>
      </c>
      <c r="M124">
        <v>78492</v>
      </c>
      <c r="N124" t="s">
        <v>45</v>
      </c>
      <c r="O124" t="s">
        <v>52</v>
      </c>
      <c r="P124" t="s">
        <v>53</v>
      </c>
    </row>
    <row r="125" spans="1:16" x14ac:dyDescent="0.2">
      <c r="A125">
        <v>124</v>
      </c>
      <c r="B125" s="2">
        <v>43817</v>
      </c>
      <c r="C125" t="s">
        <v>22</v>
      </c>
      <c r="D125" t="s">
        <v>35</v>
      </c>
      <c r="E125" t="s">
        <v>24</v>
      </c>
      <c r="F125">
        <v>22</v>
      </c>
      <c r="G125">
        <v>17819</v>
      </c>
      <c r="H125">
        <v>8</v>
      </c>
      <c r="I125">
        <v>3</v>
      </c>
      <c r="J125" t="s">
        <v>15</v>
      </c>
      <c r="K125" t="s">
        <v>16</v>
      </c>
      <c r="L125" t="s">
        <v>17</v>
      </c>
      <c r="M125">
        <v>213828</v>
      </c>
      <c r="N125" t="s">
        <v>45</v>
      </c>
      <c r="O125" t="s">
        <v>52</v>
      </c>
      <c r="P125" t="s">
        <v>55</v>
      </c>
    </row>
    <row r="126" spans="1:16" x14ac:dyDescent="0.2">
      <c r="A126">
        <v>125</v>
      </c>
      <c r="B126" s="2">
        <v>44007</v>
      </c>
      <c r="C126" t="s">
        <v>22</v>
      </c>
      <c r="D126" t="s">
        <v>23</v>
      </c>
      <c r="E126" t="s">
        <v>24</v>
      </c>
      <c r="F126">
        <v>30</v>
      </c>
      <c r="G126">
        <v>11987</v>
      </c>
      <c r="H126">
        <v>5</v>
      </c>
      <c r="I126">
        <v>2</v>
      </c>
      <c r="J126" t="s">
        <v>20</v>
      </c>
      <c r="K126" t="s">
        <v>32</v>
      </c>
      <c r="L126" t="s">
        <v>39</v>
      </c>
      <c r="M126">
        <v>143844</v>
      </c>
      <c r="N126" t="s">
        <v>46</v>
      </c>
      <c r="O126" t="s">
        <v>50</v>
      </c>
      <c r="P126" t="s">
        <v>51</v>
      </c>
    </row>
    <row r="127" spans="1:16" x14ac:dyDescent="0.2">
      <c r="A127">
        <v>126</v>
      </c>
      <c r="B127" s="2">
        <v>40800</v>
      </c>
      <c r="C127" t="s">
        <v>18</v>
      </c>
      <c r="D127" t="s">
        <v>26</v>
      </c>
      <c r="E127" t="s">
        <v>24</v>
      </c>
      <c r="F127">
        <v>60</v>
      </c>
      <c r="G127">
        <v>10297</v>
      </c>
      <c r="H127">
        <v>1</v>
      </c>
      <c r="I127">
        <v>4</v>
      </c>
      <c r="J127" t="s">
        <v>15</v>
      </c>
      <c r="K127" t="s">
        <v>16</v>
      </c>
      <c r="L127" t="s">
        <v>34</v>
      </c>
      <c r="M127">
        <v>123564</v>
      </c>
      <c r="N127" t="s">
        <v>47</v>
      </c>
      <c r="O127" t="s">
        <v>54</v>
      </c>
      <c r="P127" t="s">
        <v>53</v>
      </c>
    </row>
    <row r="128" spans="1:16" x14ac:dyDescent="0.2">
      <c r="A128">
        <v>127</v>
      </c>
      <c r="B128" s="2">
        <v>40223</v>
      </c>
      <c r="C128" t="s">
        <v>30</v>
      </c>
      <c r="D128" t="s">
        <v>31</v>
      </c>
      <c r="E128" t="s">
        <v>14</v>
      </c>
      <c r="F128">
        <v>37</v>
      </c>
      <c r="G128">
        <v>19206</v>
      </c>
      <c r="H128">
        <v>14</v>
      </c>
      <c r="I128">
        <v>2</v>
      </c>
      <c r="J128" t="s">
        <v>15</v>
      </c>
      <c r="K128" t="s">
        <v>32</v>
      </c>
      <c r="L128" t="s">
        <v>25</v>
      </c>
      <c r="M128">
        <v>230472</v>
      </c>
      <c r="N128" t="s">
        <v>46</v>
      </c>
      <c r="O128" t="s">
        <v>52</v>
      </c>
      <c r="P128" t="s">
        <v>51</v>
      </c>
    </row>
    <row r="129" spans="1:16" x14ac:dyDescent="0.2">
      <c r="A129">
        <v>128</v>
      </c>
      <c r="B129" s="2">
        <v>44367</v>
      </c>
      <c r="C129" t="s">
        <v>28</v>
      </c>
      <c r="D129" t="s">
        <v>33</v>
      </c>
      <c r="E129" t="s">
        <v>14</v>
      </c>
      <c r="F129">
        <v>25</v>
      </c>
      <c r="G129">
        <v>7068</v>
      </c>
      <c r="H129">
        <v>3</v>
      </c>
      <c r="I129">
        <v>1</v>
      </c>
      <c r="J129" t="s">
        <v>20</v>
      </c>
      <c r="K129" t="s">
        <v>27</v>
      </c>
      <c r="L129" t="s">
        <v>17</v>
      </c>
      <c r="M129">
        <v>84816</v>
      </c>
      <c r="N129" t="s">
        <v>45</v>
      </c>
      <c r="O129" t="s">
        <v>50</v>
      </c>
      <c r="P129" t="s">
        <v>51</v>
      </c>
    </row>
    <row r="130" spans="1:16" x14ac:dyDescent="0.2">
      <c r="A130">
        <v>129</v>
      </c>
      <c r="B130" s="2">
        <v>43027</v>
      </c>
      <c r="C130" t="s">
        <v>22</v>
      </c>
      <c r="D130" t="s">
        <v>23</v>
      </c>
      <c r="E130" t="s">
        <v>24</v>
      </c>
      <c r="F130">
        <v>52</v>
      </c>
      <c r="G130">
        <v>17976</v>
      </c>
      <c r="H130">
        <v>9</v>
      </c>
      <c r="I130">
        <v>1</v>
      </c>
      <c r="J130" t="s">
        <v>20</v>
      </c>
      <c r="K130" t="s">
        <v>27</v>
      </c>
      <c r="L130" t="s">
        <v>25</v>
      </c>
      <c r="M130">
        <v>215712</v>
      </c>
      <c r="N130" t="s">
        <v>47</v>
      </c>
      <c r="O130" t="s">
        <v>52</v>
      </c>
      <c r="P130" t="s">
        <v>51</v>
      </c>
    </row>
    <row r="131" spans="1:16" x14ac:dyDescent="0.2">
      <c r="A131">
        <v>130</v>
      </c>
      <c r="B131" s="2">
        <v>44348</v>
      </c>
      <c r="C131" t="s">
        <v>18</v>
      </c>
      <c r="D131" t="s">
        <v>19</v>
      </c>
      <c r="E131" t="s">
        <v>14</v>
      </c>
      <c r="F131">
        <v>24</v>
      </c>
      <c r="G131">
        <v>18541</v>
      </c>
      <c r="H131">
        <v>12</v>
      </c>
      <c r="I131">
        <v>4</v>
      </c>
      <c r="J131" t="s">
        <v>20</v>
      </c>
      <c r="K131" t="s">
        <v>27</v>
      </c>
      <c r="L131" t="s">
        <v>17</v>
      </c>
      <c r="M131">
        <v>222492</v>
      </c>
      <c r="N131" t="s">
        <v>45</v>
      </c>
      <c r="O131" t="s">
        <v>52</v>
      </c>
      <c r="P131" t="s">
        <v>53</v>
      </c>
    </row>
    <row r="132" spans="1:16" x14ac:dyDescent="0.2">
      <c r="A132">
        <v>131</v>
      </c>
      <c r="B132" s="2">
        <v>40349</v>
      </c>
      <c r="C132" t="s">
        <v>36</v>
      </c>
      <c r="D132" t="s">
        <v>37</v>
      </c>
      <c r="E132" t="s">
        <v>24</v>
      </c>
      <c r="F132">
        <v>26</v>
      </c>
      <c r="G132">
        <v>4425</v>
      </c>
      <c r="H132">
        <v>9</v>
      </c>
      <c r="I132">
        <v>4</v>
      </c>
      <c r="J132" t="s">
        <v>20</v>
      </c>
      <c r="K132" t="s">
        <v>27</v>
      </c>
      <c r="L132" t="s">
        <v>25</v>
      </c>
      <c r="M132">
        <v>53100</v>
      </c>
      <c r="N132" t="s">
        <v>45</v>
      </c>
      <c r="O132" t="s">
        <v>52</v>
      </c>
      <c r="P132" t="s">
        <v>53</v>
      </c>
    </row>
    <row r="133" spans="1:16" x14ac:dyDescent="0.2">
      <c r="A133">
        <v>132</v>
      </c>
      <c r="B133" s="2">
        <v>42258</v>
      </c>
      <c r="C133" t="s">
        <v>12</v>
      </c>
      <c r="D133" t="s">
        <v>41</v>
      </c>
      <c r="E133" t="s">
        <v>14</v>
      </c>
      <c r="F133">
        <v>59</v>
      </c>
      <c r="G133">
        <v>8160</v>
      </c>
      <c r="H133">
        <v>13</v>
      </c>
      <c r="I133">
        <v>1</v>
      </c>
      <c r="J133" t="s">
        <v>20</v>
      </c>
      <c r="K133" t="s">
        <v>16</v>
      </c>
      <c r="L133" t="s">
        <v>21</v>
      </c>
      <c r="M133">
        <v>97920</v>
      </c>
      <c r="N133" t="s">
        <v>47</v>
      </c>
      <c r="O133" t="s">
        <v>52</v>
      </c>
      <c r="P133" t="s">
        <v>51</v>
      </c>
    </row>
    <row r="134" spans="1:16" x14ac:dyDescent="0.2">
      <c r="A134">
        <v>133</v>
      </c>
      <c r="B134" s="2">
        <v>43345</v>
      </c>
      <c r="C134" t="s">
        <v>28</v>
      </c>
      <c r="D134" t="s">
        <v>29</v>
      </c>
      <c r="E134" t="s">
        <v>14</v>
      </c>
      <c r="F134">
        <v>52</v>
      </c>
      <c r="G134">
        <v>9881</v>
      </c>
      <c r="H134">
        <v>12</v>
      </c>
      <c r="I134">
        <v>4</v>
      </c>
      <c r="J134" t="s">
        <v>20</v>
      </c>
      <c r="K134" t="s">
        <v>32</v>
      </c>
      <c r="L134" t="s">
        <v>17</v>
      </c>
      <c r="M134">
        <v>118572</v>
      </c>
      <c r="N134" t="s">
        <v>47</v>
      </c>
      <c r="O134" t="s">
        <v>52</v>
      </c>
      <c r="P134" t="s">
        <v>53</v>
      </c>
    </row>
    <row r="135" spans="1:16" x14ac:dyDescent="0.2">
      <c r="A135">
        <v>134</v>
      </c>
      <c r="B135" s="2">
        <v>42038</v>
      </c>
      <c r="C135" t="s">
        <v>22</v>
      </c>
      <c r="D135" t="s">
        <v>35</v>
      </c>
      <c r="E135" t="s">
        <v>24</v>
      </c>
      <c r="F135">
        <v>53</v>
      </c>
      <c r="G135">
        <v>9130</v>
      </c>
      <c r="H135">
        <v>7</v>
      </c>
      <c r="I135">
        <v>5</v>
      </c>
      <c r="J135" t="s">
        <v>20</v>
      </c>
      <c r="K135" t="s">
        <v>27</v>
      </c>
      <c r="L135" t="s">
        <v>21</v>
      </c>
      <c r="M135">
        <v>109560</v>
      </c>
      <c r="N135" t="s">
        <v>47</v>
      </c>
      <c r="O135" t="s">
        <v>50</v>
      </c>
      <c r="P135" t="s">
        <v>53</v>
      </c>
    </row>
    <row r="136" spans="1:16" x14ac:dyDescent="0.2">
      <c r="A136">
        <v>135</v>
      </c>
      <c r="B136" s="2">
        <v>42065</v>
      </c>
      <c r="C136" t="s">
        <v>36</v>
      </c>
      <c r="D136" t="s">
        <v>37</v>
      </c>
      <c r="E136" t="s">
        <v>24</v>
      </c>
      <c r="F136">
        <v>24</v>
      </c>
      <c r="G136">
        <v>17355</v>
      </c>
      <c r="H136">
        <v>10</v>
      </c>
      <c r="I136">
        <v>5</v>
      </c>
      <c r="J136" t="s">
        <v>20</v>
      </c>
      <c r="K136" t="s">
        <v>16</v>
      </c>
      <c r="L136" t="s">
        <v>39</v>
      </c>
      <c r="M136">
        <v>208260</v>
      </c>
      <c r="N136" t="s">
        <v>45</v>
      </c>
      <c r="O136" t="s">
        <v>52</v>
      </c>
      <c r="P136" t="s">
        <v>53</v>
      </c>
    </row>
    <row r="137" spans="1:16" x14ac:dyDescent="0.2">
      <c r="A137">
        <v>136</v>
      </c>
      <c r="B137" s="2">
        <v>41456</v>
      </c>
      <c r="C137" t="s">
        <v>18</v>
      </c>
      <c r="D137" t="s">
        <v>19</v>
      </c>
      <c r="E137" t="s">
        <v>24</v>
      </c>
      <c r="F137">
        <v>51</v>
      </c>
      <c r="G137">
        <v>4966</v>
      </c>
      <c r="H137">
        <v>10</v>
      </c>
      <c r="I137">
        <v>3</v>
      </c>
      <c r="J137" t="s">
        <v>15</v>
      </c>
      <c r="K137" t="s">
        <v>27</v>
      </c>
      <c r="L137" t="s">
        <v>34</v>
      </c>
      <c r="M137">
        <v>59592</v>
      </c>
      <c r="N137" t="s">
        <v>47</v>
      </c>
      <c r="O137" t="s">
        <v>52</v>
      </c>
      <c r="P137" t="s">
        <v>55</v>
      </c>
    </row>
    <row r="138" spans="1:16" x14ac:dyDescent="0.2">
      <c r="A138">
        <v>137</v>
      </c>
      <c r="B138" s="2">
        <v>42336</v>
      </c>
      <c r="C138" t="s">
        <v>18</v>
      </c>
      <c r="D138" t="s">
        <v>19</v>
      </c>
      <c r="E138" t="s">
        <v>14</v>
      </c>
      <c r="F138">
        <v>41</v>
      </c>
      <c r="G138">
        <v>7084</v>
      </c>
      <c r="H138">
        <v>5</v>
      </c>
      <c r="I138">
        <v>1</v>
      </c>
      <c r="J138" t="s">
        <v>20</v>
      </c>
      <c r="K138" t="s">
        <v>16</v>
      </c>
      <c r="L138" t="s">
        <v>21</v>
      </c>
      <c r="M138">
        <v>85008</v>
      </c>
      <c r="N138" t="s">
        <v>46</v>
      </c>
      <c r="O138" t="s">
        <v>50</v>
      </c>
      <c r="P138" t="s">
        <v>51</v>
      </c>
    </row>
    <row r="139" spans="1:16" x14ac:dyDescent="0.2">
      <c r="A139">
        <v>138</v>
      </c>
      <c r="B139" s="2">
        <v>44143</v>
      </c>
      <c r="C139" t="s">
        <v>36</v>
      </c>
      <c r="D139" t="s">
        <v>40</v>
      </c>
      <c r="E139" t="s">
        <v>24</v>
      </c>
      <c r="F139">
        <v>57</v>
      </c>
      <c r="G139">
        <v>12768</v>
      </c>
      <c r="H139">
        <v>10</v>
      </c>
      <c r="I139">
        <v>1</v>
      </c>
      <c r="J139" t="s">
        <v>15</v>
      </c>
      <c r="K139" t="s">
        <v>27</v>
      </c>
      <c r="L139" t="s">
        <v>17</v>
      </c>
      <c r="M139">
        <v>153216</v>
      </c>
      <c r="N139" t="s">
        <v>47</v>
      </c>
      <c r="O139" t="s">
        <v>52</v>
      </c>
      <c r="P139" t="s">
        <v>51</v>
      </c>
    </row>
    <row r="140" spans="1:16" x14ac:dyDescent="0.2">
      <c r="A140">
        <v>139</v>
      </c>
      <c r="B140" s="2">
        <v>42346</v>
      </c>
      <c r="C140" t="s">
        <v>18</v>
      </c>
      <c r="D140" t="s">
        <v>26</v>
      </c>
      <c r="E140" t="s">
        <v>24</v>
      </c>
      <c r="F140">
        <v>53</v>
      </c>
      <c r="G140">
        <v>13871</v>
      </c>
      <c r="H140">
        <v>1</v>
      </c>
      <c r="I140">
        <v>5</v>
      </c>
      <c r="J140" t="s">
        <v>20</v>
      </c>
      <c r="K140" t="s">
        <v>27</v>
      </c>
      <c r="L140" t="s">
        <v>34</v>
      </c>
      <c r="M140">
        <v>166452</v>
      </c>
      <c r="N140" t="s">
        <v>47</v>
      </c>
      <c r="O140" t="s">
        <v>54</v>
      </c>
      <c r="P140" t="s">
        <v>53</v>
      </c>
    </row>
    <row r="141" spans="1:16" x14ac:dyDescent="0.2">
      <c r="A141">
        <v>140</v>
      </c>
      <c r="B141" s="2">
        <v>45056</v>
      </c>
      <c r="C141" t="s">
        <v>12</v>
      </c>
      <c r="D141" t="s">
        <v>13</v>
      </c>
      <c r="E141" t="s">
        <v>14</v>
      </c>
      <c r="F141">
        <v>31</v>
      </c>
      <c r="G141">
        <v>9724</v>
      </c>
      <c r="H141">
        <v>12</v>
      </c>
      <c r="I141">
        <v>2</v>
      </c>
      <c r="J141" t="s">
        <v>15</v>
      </c>
      <c r="K141" t="s">
        <v>16</v>
      </c>
      <c r="L141" t="s">
        <v>39</v>
      </c>
      <c r="M141">
        <v>116688</v>
      </c>
      <c r="N141" t="s">
        <v>46</v>
      </c>
      <c r="O141" t="s">
        <v>52</v>
      </c>
      <c r="P141" t="s">
        <v>51</v>
      </c>
    </row>
    <row r="142" spans="1:16" x14ac:dyDescent="0.2">
      <c r="A142">
        <v>141</v>
      </c>
      <c r="B142" s="2">
        <v>44391</v>
      </c>
      <c r="C142" t="s">
        <v>30</v>
      </c>
      <c r="D142" t="s">
        <v>31</v>
      </c>
      <c r="E142" t="s">
        <v>14</v>
      </c>
      <c r="F142">
        <v>36</v>
      </c>
      <c r="G142">
        <v>17483</v>
      </c>
      <c r="H142">
        <v>14</v>
      </c>
      <c r="I142">
        <v>2</v>
      </c>
      <c r="J142" t="s">
        <v>15</v>
      </c>
      <c r="K142" t="s">
        <v>27</v>
      </c>
      <c r="L142" t="s">
        <v>34</v>
      </c>
      <c r="M142">
        <v>209796</v>
      </c>
      <c r="N142" t="s">
        <v>46</v>
      </c>
      <c r="O142" t="s">
        <v>52</v>
      </c>
      <c r="P142" t="s">
        <v>51</v>
      </c>
    </row>
    <row r="143" spans="1:16" x14ac:dyDescent="0.2">
      <c r="A143">
        <v>142</v>
      </c>
      <c r="B143" s="2">
        <v>43568</v>
      </c>
      <c r="C143" t="s">
        <v>18</v>
      </c>
      <c r="D143" t="s">
        <v>26</v>
      </c>
      <c r="E143" t="s">
        <v>24</v>
      </c>
      <c r="F143">
        <v>56</v>
      </c>
      <c r="G143">
        <v>16902</v>
      </c>
      <c r="H143">
        <v>15</v>
      </c>
      <c r="I143">
        <v>1</v>
      </c>
      <c r="J143" t="s">
        <v>15</v>
      </c>
      <c r="K143" t="s">
        <v>32</v>
      </c>
      <c r="L143" t="s">
        <v>21</v>
      </c>
      <c r="M143">
        <v>202824</v>
      </c>
      <c r="N143" t="s">
        <v>47</v>
      </c>
      <c r="O143" t="s">
        <v>52</v>
      </c>
      <c r="P143" t="s">
        <v>51</v>
      </c>
    </row>
    <row r="144" spans="1:16" x14ac:dyDescent="0.2">
      <c r="A144">
        <v>143</v>
      </c>
      <c r="B144" s="2">
        <v>44899</v>
      </c>
      <c r="C144" t="s">
        <v>36</v>
      </c>
      <c r="D144" t="s">
        <v>42</v>
      </c>
      <c r="E144" t="s">
        <v>24</v>
      </c>
      <c r="F144">
        <v>43</v>
      </c>
      <c r="G144">
        <v>17122</v>
      </c>
      <c r="H144">
        <v>12</v>
      </c>
      <c r="I144">
        <v>3</v>
      </c>
      <c r="J144" t="s">
        <v>20</v>
      </c>
      <c r="K144" t="s">
        <v>32</v>
      </c>
      <c r="L144" t="s">
        <v>39</v>
      </c>
      <c r="M144">
        <v>205464</v>
      </c>
      <c r="N144" t="s">
        <v>46</v>
      </c>
      <c r="O144" t="s">
        <v>52</v>
      </c>
      <c r="P144" t="s">
        <v>55</v>
      </c>
    </row>
    <row r="145" spans="1:16" x14ac:dyDescent="0.2">
      <c r="A145">
        <v>144</v>
      </c>
      <c r="B145" s="2">
        <v>43864</v>
      </c>
      <c r="C145" t="s">
        <v>12</v>
      </c>
      <c r="D145" t="s">
        <v>41</v>
      </c>
      <c r="E145" t="s">
        <v>24</v>
      </c>
      <c r="F145">
        <v>24</v>
      </c>
      <c r="G145">
        <v>17264</v>
      </c>
      <c r="H145">
        <v>13</v>
      </c>
      <c r="I145">
        <v>2</v>
      </c>
      <c r="J145" t="s">
        <v>20</v>
      </c>
      <c r="K145" t="s">
        <v>32</v>
      </c>
      <c r="L145" t="s">
        <v>34</v>
      </c>
      <c r="M145">
        <v>207168</v>
      </c>
      <c r="N145" t="s">
        <v>45</v>
      </c>
      <c r="O145" t="s">
        <v>52</v>
      </c>
      <c r="P145" t="s">
        <v>51</v>
      </c>
    </row>
    <row r="146" spans="1:16" x14ac:dyDescent="0.2">
      <c r="A146">
        <v>145</v>
      </c>
      <c r="B146" s="2">
        <v>41675</v>
      </c>
      <c r="C146" t="s">
        <v>30</v>
      </c>
      <c r="D146" t="s">
        <v>38</v>
      </c>
      <c r="E146" t="s">
        <v>14</v>
      </c>
      <c r="F146">
        <v>48</v>
      </c>
      <c r="G146">
        <v>14050</v>
      </c>
      <c r="H146">
        <v>7</v>
      </c>
      <c r="I146">
        <v>1</v>
      </c>
      <c r="J146" t="s">
        <v>20</v>
      </c>
      <c r="K146" t="s">
        <v>16</v>
      </c>
      <c r="L146" t="s">
        <v>34</v>
      </c>
      <c r="M146">
        <v>168600</v>
      </c>
      <c r="N146" t="s">
        <v>47</v>
      </c>
      <c r="O146" t="s">
        <v>50</v>
      </c>
      <c r="P146" t="s">
        <v>51</v>
      </c>
    </row>
    <row r="147" spans="1:16" x14ac:dyDescent="0.2">
      <c r="A147">
        <v>146</v>
      </c>
      <c r="B147" s="2">
        <v>43506</v>
      </c>
      <c r="C147" t="s">
        <v>28</v>
      </c>
      <c r="D147" t="s">
        <v>29</v>
      </c>
      <c r="E147" t="s">
        <v>14</v>
      </c>
      <c r="F147">
        <v>49</v>
      </c>
      <c r="G147">
        <v>8500</v>
      </c>
      <c r="H147">
        <v>9</v>
      </c>
      <c r="I147">
        <v>1</v>
      </c>
      <c r="J147" t="s">
        <v>15</v>
      </c>
      <c r="K147" t="s">
        <v>32</v>
      </c>
      <c r="L147" t="s">
        <v>25</v>
      </c>
      <c r="M147">
        <v>102000</v>
      </c>
      <c r="N147" t="s">
        <v>47</v>
      </c>
      <c r="O147" t="s">
        <v>52</v>
      </c>
      <c r="P147" t="s">
        <v>51</v>
      </c>
    </row>
    <row r="148" spans="1:16" x14ac:dyDescent="0.2">
      <c r="A148">
        <v>147</v>
      </c>
      <c r="B148" s="2">
        <v>43425</v>
      </c>
      <c r="C148" t="s">
        <v>22</v>
      </c>
      <c r="D148" t="s">
        <v>35</v>
      </c>
      <c r="E148" t="s">
        <v>14</v>
      </c>
      <c r="F148">
        <v>24</v>
      </c>
      <c r="G148">
        <v>9169</v>
      </c>
      <c r="H148">
        <v>6</v>
      </c>
      <c r="I148">
        <v>2</v>
      </c>
      <c r="J148" t="s">
        <v>20</v>
      </c>
      <c r="K148" t="s">
        <v>16</v>
      </c>
      <c r="L148" t="s">
        <v>34</v>
      </c>
      <c r="M148">
        <v>110028</v>
      </c>
      <c r="N148" t="s">
        <v>45</v>
      </c>
      <c r="O148" t="s">
        <v>50</v>
      </c>
      <c r="P148" t="s">
        <v>51</v>
      </c>
    </row>
    <row r="149" spans="1:16" x14ac:dyDescent="0.2">
      <c r="A149">
        <v>148</v>
      </c>
      <c r="B149" s="2">
        <v>40733</v>
      </c>
      <c r="C149" t="s">
        <v>12</v>
      </c>
      <c r="D149" t="s">
        <v>13</v>
      </c>
      <c r="E149" t="s">
        <v>14</v>
      </c>
      <c r="F149">
        <v>32</v>
      </c>
      <c r="G149">
        <v>5336</v>
      </c>
      <c r="H149">
        <v>13</v>
      </c>
      <c r="I149">
        <v>4</v>
      </c>
      <c r="J149" t="s">
        <v>20</v>
      </c>
      <c r="K149" t="s">
        <v>27</v>
      </c>
      <c r="L149" t="s">
        <v>39</v>
      </c>
      <c r="M149">
        <v>64032</v>
      </c>
      <c r="N149" t="s">
        <v>46</v>
      </c>
      <c r="O149" t="s">
        <v>52</v>
      </c>
      <c r="P149" t="s">
        <v>53</v>
      </c>
    </row>
    <row r="150" spans="1:16" x14ac:dyDescent="0.2">
      <c r="A150">
        <v>149</v>
      </c>
      <c r="B150" s="2">
        <v>43923</v>
      </c>
      <c r="C150" t="s">
        <v>30</v>
      </c>
      <c r="D150" t="s">
        <v>38</v>
      </c>
      <c r="E150" t="s">
        <v>24</v>
      </c>
      <c r="F150">
        <v>29</v>
      </c>
      <c r="G150">
        <v>13580</v>
      </c>
      <c r="H150">
        <v>2</v>
      </c>
      <c r="I150">
        <v>2</v>
      </c>
      <c r="J150" t="s">
        <v>15</v>
      </c>
      <c r="K150" t="s">
        <v>27</v>
      </c>
      <c r="L150" t="s">
        <v>39</v>
      </c>
      <c r="M150">
        <v>162960</v>
      </c>
      <c r="N150" t="s">
        <v>45</v>
      </c>
      <c r="O150" t="s">
        <v>54</v>
      </c>
      <c r="P150" t="s">
        <v>51</v>
      </c>
    </row>
    <row r="151" spans="1:16" x14ac:dyDescent="0.2">
      <c r="A151">
        <v>150</v>
      </c>
      <c r="B151" s="2">
        <v>44162</v>
      </c>
      <c r="C151" t="s">
        <v>30</v>
      </c>
      <c r="D151" t="s">
        <v>38</v>
      </c>
      <c r="E151" t="s">
        <v>24</v>
      </c>
      <c r="F151">
        <v>56</v>
      </c>
      <c r="G151">
        <v>8940</v>
      </c>
      <c r="H151">
        <v>4</v>
      </c>
      <c r="I151">
        <v>3</v>
      </c>
      <c r="J151" t="s">
        <v>15</v>
      </c>
      <c r="K151" t="s">
        <v>32</v>
      </c>
      <c r="L151" t="s">
        <v>17</v>
      </c>
      <c r="M151">
        <v>107280</v>
      </c>
      <c r="N151" t="s">
        <v>47</v>
      </c>
      <c r="O151" t="s">
        <v>50</v>
      </c>
      <c r="P151" t="s">
        <v>55</v>
      </c>
    </row>
    <row r="152" spans="1:16" x14ac:dyDescent="0.2">
      <c r="A152">
        <v>151</v>
      </c>
      <c r="B152" s="2">
        <v>42152</v>
      </c>
      <c r="C152" t="s">
        <v>36</v>
      </c>
      <c r="D152" t="s">
        <v>37</v>
      </c>
      <c r="E152" t="s">
        <v>24</v>
      </c>
      <c r="F152">
        <v>38</v>
      </c>
      <c r="G152">
        <v>18786</v>
      </c>
      <c r="H152">
        <v>6</v>
      </c>
      <c r="I152">
        <v>5</v>
      </c>
      <c r="J152" t="s">
        <v>20</v>
      </c>
      <c r="K152" t="s">
        <v>32</v>
      </c>
      <c r="L152" t="s">
        <v>25</v>
      </c>
      <c r="M152">
        <v>225432</v>
      </c>
      <c r="N152" t="s">
        <v>46</v>
      </c>
      <c r="O152" t="s">
        <v>50</v>
      </c>
      <c r="P152" t="s">
        <v>53</v>
      </c>
    </row>
    <row r="153" spans="1:16" x14ac:dyDescent="0.2">
      <c r="A153">
        <v>152</v>
      </c>
      <c r="B153" s="2">
        <v>45109</v>
      </c>
      <c r="C153" t="s">
        <v>18</v>
      </c>
      <c r="D153" t="s">
        <v>26</v>
      </c>
      <c r="E153" t="s">
        <v>24</v>
      </c>
      <c r="F153">
        <v>45</v>
      </c>
      <c r="G153">
        <v>14729</v>
      </c>
      <c r="H153">
        <v>12</v>
      </c>
      <c r="I153">
        <v>3</v>
      </c>
      <c r="J153" t="s">
        <v>15</v>
      </c>
      <c r="K153" t="s">
        <v>27</v>
      </c>
      <c r="L153" t="s">
        <v>39</v>
      </c>
      <c r="M153">
        <v>176748</v>
      </c>
      <c r="N153" t="s">
        <v>46</v>
      </c>
      <c r="O153" t="s">
        <v>52</v>
      </c>
      <c r="P153" t="s">
        <v>55</v>
      </c>
    </row>
    <row r="154" spans="1:16" x14ac:dyDescent="0.2">
      <c r="A154">
        <v>153</v>
      </c>
      <c r="B154" s="2">
        <v>41846</v>
      </c>
      <c r="C154" t="s">
        <v>36</v>
      </c>
      <c r="D154" t="s">
        <v>37</v>
      </c>
      <c r="E154" t="s">
        <v>24</v>
      </c>
      <c r="F154">
        <v>40</v>
      </c>
      <c r="G154">
        <v>6468</v>
      </c>
      <c r="H154">
        <v>4</v>
      </c>
      <c r="I154">
        <v>1</v>
      </c>
      <c r="J154" t="s">
        <v>20</v>
      </c>
      <c r="K154" t="s">
        <v>27</v>
      </c>
      <c r="L154" t="s">
        <v>25</v>
      </c>
      <c r="M154">
        <v>77616</v>
      </c>
      <c r="N154" t="s">
        <v>46</v>
      </c>
      <c r="O154" t="s">
        <v>50</v>
      </c>
      <c r="P154" t="s">
        <v>51</v>
      </c>
    </row>
    <row r="155" spans="1:16" x14ac:dyDescent="0.2">
      <c r="A155">
        <v>154</v>
      </c>
      <c r="B155" s="2">
        <v>45041</v>
      </c>
      <c r="C155" t="s">
        <v>18</v>
      </c>
      <c r="D155" t="s">
        <v>26</v>
      </c>
      <c r="E155" t="s">
        <v>14</v>
      </c>
      <c r="F155">
        <v>47</v>
      </c>
      <c r="G155">
        <v>18330</v>
      </c>
      <c r="H155">
        <v>9</v>
      </c>
      <c r="I155">
        <v>1</v>
      </c>
      <c r="J155" t="s">
        <v>20</v>
      </c>
      <c r="K155" t="s">
        <v>32</v>
      </c>
      <c r="L155" t="s">
        <v>34</v>
      </c>
      <c r="M155">
        <v>219960</v>
      </c>
      <c r="N155" t="s">
        <v>47</v>
      </c>
      <c r="O155" t="s">
        <v>52</v>
      </c>
      <c r="P155" t="s">
        <v>51</v>
      </c>
    </row>
    <row r="156" spans="1:16" x14ac:dyDescent="0.2">
      <c r="A156">
        <v>155</v>
      </c>
      <c r="B156" s="2">
        <v>42084</v>
      </c>
      <c r="C156" t="s">
        <v>12</v>
      </c>
      <c r="D156" t="s">
        <v>41</v>
      </c>
      <c r="E156" t="s">
        <v>24</v>
      </c>
      <c r="F156">
        <v>26</v>
      </c>
      <c r="G156">
        <v>7287</v>
      </c>
      <c r="H156">
        <v>4</v>
      </c>
      <c r="I156">
        <v>5</v>
      </c>
      <c r="J156" t="s">
        <v>15</v>
      </c>
      <c r="K156" t="s">
        <v>16</v>
      </c>
      <c r="L156" t="s">
        <v>39</v>
      </c>
      <c r="M156">
        <v>87444</v>
      </c>
      <c r="N156" t="s">
        <v>45</v>
      </c>
      <c r="O156" t="s">
        <v>50</v>
      </c>
      <c r="P156" t="s">
        <v>53</v>
      </c>
    </row>
    <row r="157" spans="1:16" x14ac:dyDescent="0.2">
      <c r="A157">
        <v>156</v>
      </c>
      <c r="B157" s="2">
        <v>43392</v>
      </c>
      <c r="C157" t="s">
        <v>36</v>
      </c>
      <c r="D157" t="s">
        <v>42</v>
      </c>
      <c r="E157" t="s">
        <v>24</v>
      </c>
      <c r="F157">
        <v>45</v>
      </c>
      <c r="G157">
        <v>18789</v>
      </c>
      <c r="H157">
        <v>11</v>
      </c>
      <c r="I157">
        <v>1</v>
      </c>
      <c r="J157" t="s">
        <v>15</v>
      </c>
      <c r="K157" t="s">
        <v>32</v>
      </c>
      <c r="L157" t="s">
        <v>25</v>
      </c>
      <c r="M157">
        <v>225468</v>
      </c>
      <c r="N157" t="s">
        <v>46</v>
      </c>
      <c r="O157" t="s">
        <v>52</v>
      </c>
      <c r="P157" t="s">
        <v>51</v>
      </c>
    </row>
    <row r="158" spans="1:16" x14ac:dyDescent="0.2">
      <c r="A158">
        <v>157</v>
      </c>
      <c r="B158" s="2">
        <v>43887</v>
      </c>
      <c r="C158" t="s">
        <v>22</v>
      </c>
      <c r="D158" t="s">
        <v>35</v>
      </c>
      <c r="E158" t="s">
        <v>24</v>
      </c>
      <c r="F158">
        <v>46</v>
      </c>
      <c r="G158">
        <v>17248</v>
      </c>
      <c r="H158">
        <v>7</v>
      </c>
      <c r="I158">
        <v>2</v>
      </c>
      <c r="J158" t="s">
        <v>20</v>
      </c>
      <c r="K158" t="s">
        <v>27</v>
      </c>
      <c r="L158" t="s">
        <v>21</v>
      </c>
      <c r="M158">
        <v>206976</v>
      </c>
      <c r="N158" t="s">
        <v>47</v>
      </c>
      <c r="O158" t="s">
        <v>50</v>
      </c>
      <c r="P158" t="s">
        <v>51</v>
      </c>
    </row>
    <row r="159" spans="1:16" x14ac:dyDescent="0.2">
      <c r="A159">
        <v>158</v>
      </c>
      <c r="B159" s="2">
        <v>42679</v>
      </c>
      <c r="C159" t="s">
        <v>36</v>
      </c>
      <c r="D159" t="s">
        <v>42</v>
      </c>
      <c r="E159" t="s">
        <v>24</v>
      </c>
      <c r="F159">
        <v>43</v>
      </c>
      <c r="G159">
        <v>17261</v>
      </c>
      <c r="H159">
        <v>6</v>
      </c>
      <c r="I159">
        <v>5</v>
      </c>
      <c r="J159" t="s">
        <v>20</v>
      </c>
      <c r="K159" t="s">
        <v>16</v>
      </c>
      <c r="L159" t="s">
        <v>34</v>
      </c>
      <c r="M159">
        <v>207132</v>
      </c>
      <c r="N159" t="s">
        <v>46</v>
      </c>
      <c r="O159" t="s">
        <v>50</v>
      </c>
      <c r="P159" t="s">
        <v>53</v>
      </c>
    </row>
    <row r="160" spans="1:16" x14ac:dyDescent="0.2">
      <c r="A160">
        <v>159</v>
      </c>
      <c r="B160" s="2">
        <v>41497</v>
      </c>
      <c r="C160" t="s">
        <v>30</v>
      </c>
      <c r="D160" t="s">
        <v>38</v>
      </c>
      <c r="E160" t="s">
        <v>14</v>
      </c>
      <c r="F160">
        <v>53</v>
      </c>
      <c r="G160">
        <v>15840</v>
      </c>
      <c r="H160">
        <v>0</v>
      </c>
      <c r="I160">
        <v>3</v>
      </c>
      <c r="J160" t="s">
        <v>20</v>
      </c>
      <c r="K160" t="s">
        <v>32</v>
      </c>
      <c r="L160" t="s">
        <v>34</v>
      </c>
      <c r="M160">
        <v>190080</v>
      </c>
      <c r="N160" t="s">
        <v>47</v>
      </c>
      <c r="O160" t="s">
        <v>54</v>
      </c>
      <c r="P160" t="s">
        <v>55</v>
      </c>
    </row>
    <row r="161" spans="1:16" x14ac:dyDescent="0.2">
      <c r="A161">
        <v>160</v>
      </c>
      <c r="B161" s="2">
        <v>42536</v>
      </c>
      <c r="C161" t="s">
        <v>18</v>
      </c>
      <c r="D161" t="s">
        <v>26</v>
      </c>
      <c r="E161" t="s">
        <v>24</v>
      </c>
      <c r="F161">
        <v>53</v>
      </c>
      <c r="G161">
        <v>16320</v>
      </c>
      <c r="H161">
        <v>5</v>
      </c>
      <c r="I161">
        <v>4</v>
      </c>
      <c r="J161" t="s">
        <v>20</v>
      </c>
      <c r="K161" t="s">
        <v>27</v>
      </c>
      <c r="L161" t="s">
        <v>21</v>
      </c>
      <c r="M161">
        <v>195840</v>
      </c>
      <c r="N161" t="s">
        <v>47</v>
      </c>
      <c r="O161" t="s">
        <v>50</v>
      </c>
      <c r="P161" t="s">
        <v>53</v>
      </c>
    </row>
    <row r="162" spans="1:16" x14ac:dyDescent="0.2">
      <c r="A162">
        <v>161</v>
      </c>
      <c r="B162" s="2">
        <v>43855</v>
      </c>
      <c r="C162" t="s">
        <v>22</v>
      </c>
      <c r="D162" t="s">
        <v>35</v>
      </c>
      <c r="E162" t="s">
        <v>24</v>
      </c>
      <c r="F162">
        <v>59</v>
      </c>
      <c r="G162">
        <v>8938</v>
      </c>
      <c r="H162">
        <v>1</v>
      </c>
      <c r="I162">
        <v>5</v>
      </c>
      <c r="J162" t="s">
        <v>20</v>
      </c>
      <c r="K162" t="s">
        <v>32</v>
      </c>
      <c r="L162" t="s">
        <v>34</v>
      </c>
      <c r="M162">
        <v>107256</v>
      </c>
      <c r="N162" t="s">
        <v>47</v>
      </c>
      <c r="O162" t="s">
        <v>54</v>
      </c>
      <c r="P162" t="s">
        <v>53</v>
      </c>
    </row>
    <row r="163" spans="1:16" x14ac:dyDescent="0.2">
      <c r="A163">
        <v>162</v>
      </c>
      <c r="B163" s="2">
        <v>43544</v>
      </c>
      <c r="C163" t="s">
        <v>30</v>
      </c>
      <c r="D163" t="s">
        <v>38</v>
      </c>
      <c r="E163" t="s">
        <v>24</v>
      </c>
      <c r="F163">
        <v>32</v>
      </c>
      <c r="G163">
        <v>5491</v>
      </c>
      <c r="H163">
        <v>1</v>
      </c>
      <c r="I163">
        <v>2</v>
      </c>
      <c r="J163" t="s">
        <v>20</v>
      </c>
      <c r="K163" t="s">
        <v>27</v>
      </c>
      <c r="L163" t="s">
        <v>17</v>
      </c>
      <c r="M163">
        <v>65892</v>
      </c>
      <c r="N163" t="s">
        <v>46</v>
      </c>
      <c r="O163" t="s">
        <v>54</v>
      </c>
      <c r="P163" t="s">
        <v>51</v>
      </c>
    </row>
    <row r="164" spans="1:16" x14ac:dyDescent="0.2">
      <c r="A164">
        <v>163</v>
      </c>
      <c r="B164" s="2">
        <v>44718</v>
      </c>
      <c r="C164" t="s">
        <v>18</v>
      </c>
      <c r="D164" t="s">
        <v>19</v>
      </c>
      <c r="E164" t="s">
        <v>14</v>
      </c>
      <c r="F164">
        <v>60</v>
      </c>
      <c r="G164">
        <v>18191</v>
      </c>
      <c r="H164">
        <v>8</v>
      </c>
      <c r="I164">
        <v>5</v>
      </c>
      <c r="J164" t="s">
        <v>20</v>
      </c>
      <c r="K164" t="s">
        <v>27</v>
      </c>
      <c r="L164" t="s">
        <v>17</v>
      </c>
      <c r="M164">
        <v>218292</v>
      </c>
      <c r="N164" t="s">
        <v>47</v>
      </c>
      <c r="O164" t="s">
        <v>52</v>
      </c>
      <c r="P164" t="s">
        <v>53</v>
      </c>
    </row>
    <row r="165" spans="1:16" x14ac:dyDescent="0.2">
      <c r="A165">
        <v>164</v>
      </c>
      <c r="B165" s="2">
        <v>40251</v>
      </c>
      <c r="C165" t="s">
        <v>12</v>
      </c>
      <c r="D165" t="s">
        <v>13</v>
      </c>
      <c r="E165" t="s">
        <v>14</v>
      </c>
      <c r="F165">
        <v>40</v>
      </c>
      <c r="G165">
        <v>15785</v>
      </c>
      <c r="H165">
        <v>2</v>
      </c>
      <c r="I165">
        <v>2</v>
      </c>
      <c r="J165" t="s">
        <v>20</v>
      </c>
      <c r="K165" t="s">
        <v>32</v>
      </c>
      <c r="L165" t="s">
        <v>17</v>
      </c>
      <c r="M165">
        <v>189420</v>
      </c>
      <c r="N165" t="s">
        <v>46</v>
      </c>
      <c r="O165" t="s">
        <v>54</v>
      </c>
      <c r="P165" t="s">
        <v>51</v>
      </c>
    </row>
    <row r="166" spans="1:16" x14ac:dyDescent="0.2">
      <c r="A166">
        <v>165</v>
      </c>
      <c r="B166" s="2">
        <v>44042</v>
      </c>
      <c r="C166" t="s">
        <v>12</v>
      </c>
      <c r="D166" t="s">
        <v>13</v>
      </c>
      <c r="E166" t="s">
        <v>24</v>
      </c>
      <c r="F166">
        <v>27</v>
      </c>
      <c r="G166">
        <v>17844</v>
      </c>
      <c r="H166">
        <v>5</v>
      </c>
      <c r="I166">
        <v>1</v>
      </c>
      <c r="J166" t="s">
        <v>20</v>
      </c>
      <c r="K166" t="s">
        <v>32</v>
      </c>
      <c r="L166" t="s">
        <v>21</v>
      </c>
      <c r="M166">
        <v>214128</v>
      </c>
      <c r="N166" t="s">
        <v>45</v>
      </c>
      <c r="O166" t="s">
        <v>50</v>
      </c>
      <c r="P166" t="s">
        <v>51</v>
      </c>
    </row>
    <row r="167" spans="1:16" x14ac:dyDescent="0.2">
      <c r="A167">
        <v>166</v>
      </c>
      <c r="B167" s="2">
        <v>40835</v>
      </c>
      <c r="C167" t="s">
        <v>22</v>
      </c>
      <c r="D167" t="s">
        <v>35</v>
      </c>
      <c r="E167" t="s">
        <v>24</v>
      </c>
      <c r="F167">
        <v>46</v>
      </c>
      <c r="G167">
        <v>8526</v>
      </c>
      <c r="H167">
        <v>0</v>
      </c>
      <c r="I167">
        <v>3</v>
      </c>
      <c r="J167" t="s">
        <v>20</v>
      </c>
      <c r="K167" t="s">
        <v>32</v>
      </c>
      <c r="L167" t="s">
        <v>21</v>
      </c>
      <c r="M167">
        <v>102312</v>
      </c>
      <c r="N167" t="s">
        <v>47</v>
      </c>
      <c r="O167" t="s">
        <v>54</v>
      </c>
      <c r="P167" t="s">
        <v>55</v>
      </c>
    </row>
    <row r="168" spans="1:16" x14ac:dyDescent="0.2">
      <c r="A168">
        <v>167</v>
      </c>
      <c r="B168" s="2">
        <v>41058</v>
      </c>
      <c r="C168" t="s">
        <v>28</v>
      </c>
      <c r="D168" t="s">
        <v>33</v>
      </c>
      <c r="E168" t="s">
        <v>14</v>
      </c>
      <c r="F168">
        <v>27</v>
      </c>
      <c r="G168">
        <v>10884</v>
      </c>
      <c r="H168">
        <v>10</v>
      </c>
      <c r="I168">
        <v>2</v>
      </c>
      <c r="J168" t="s">
        <v>15</v>
      </c>
      <c r="K168" t="s">
        <v>16</v>
      </c>
      <c r="L168" t="s">
        <v>39</v>
      </c>
      <c r="M168">
        <v>130608</v>
      </c>
      <c r="N168" t="s">
        <v>45</v>
      </c>
      <c r="O168" t="s">
        <v>52</v>
      </c>
      <c r="P168" t="s">
        <v>51</v>
      </c>
    </row>
    <row r="169" spans="1:16" x14ac:dyDescent="0.2">
      <c r="A169">
        <v>168</v>
      </c>
      <c r="B169" s="2">
        <v>40246</v>
      </c>
      <c r="C169" t="s">
        <v>28</v>
      </c>
      <c r="D169" t="s">
        <v>29</v>
      </c>
      <c r="E169" t="s">
        <v>14</v>
      </c>
      <c r="F169">
        <v>28</v>
      </c>
      <c r="G169">
        <v>10335</v>
      </c>
      <c r="H169">
        <v>5</v>
      </c>
      <c r="I169">
        <v>1</v>
      </c>
      <c r="J169" t="s">
        <v>15</v>
      </c>
      <c r="K169" t="s">
        <v>27</v>
      </c>
      <c r="L169" t="s">
        <v>17</v>
      </c>
      <c r="M169">
        <v>124020</v>
      </c>
      <c r="N169" t="s">
        <v>45</v>
      </c>
      <c r="O169" t="s">
        <v>50</v>
      </c>
      <c r="P169" t="s">
        <v>51</v>
      </c>
    </row>
    <row r="170" spans="1:16" x14ac:dyDescent="0.2">
      <c r="A170">
        <v>169</v>
      </c>
      <c r="B170" s="2">
        <v>43528</v>
      </c>
      <c r="C170" t="s">
        <v>30</v>
      </c>
      <c r="D170" t="s">
        <v>31</v>
      </c>
      <c r="E170" t="s">
        <v>14</v>
      </c>
      <c r="F170">
        <v>42</v>
      </c>
      <c r="G170">
        <v>10497</v>
      </c>
      <c r="H170">
        <v>13</v>
      </c>
      <c r="I170">
        <v>2</v>
      </c>
      <c r="J170" t="s">
        <v>20</v>
      </c>
      <c r="K170" t="s">
        <v>32</v>
      </c>
      <c r="L170" t="s">
        <v>39</v>
      </c>
      <c r="M170">
        <v>125964</v>
      </c>
      <c r="N170" t="s">
        <v>46</v>
      </c>
      <c r="O170" t="s">
        <v>52</v>
      </c>
      <c r="P170" t="s">
        <v>51</v>
      </c>
    </row>
    <row r="171" spans="1:16" x14ac:dyDescent="0.2">
      <c r="A171">
        <v>170</v>
      </c>
      <c r="B171" s="2">
        <v>41798</v>
      </c>
      <c r="C171" t="s">
        <v>30</v>
      </c>
      <c r="D171" t="s">
        <v>38</v>
      </c>
      <c r="E171" t="s">
        <v>14</v>
      </c>
      <c r="F171">
        <v>28</v>
      </c>
      <c r="G171">
        <v>11704</v>
      </c>
      <c r="H171">
        <v>9</v>
      </c>
      <c r="I171">
        <v>2</v>
      </c>
      <c r="J171" t="s">
        <v>20</v>
      </c>
      <c r="K171" t="s">
        <v>16</v>
      </c>
      <c r="L171" t="s">
        <v>21</v>
      </c>
      <c r="M171">
        <v>140448</v>
      </c>
      <c r="N171" t="s">
        <v>45</v>
      </c>
      <c r="O171" t="s">
        <v>52</v>
      </c>
      <c r="P171" t="s">
        <v>51</v>
      </c>
    </row>
    <row r="172" spans="1:16" x14ac:dyDescent="0.2">
      <c r="A172">
        <v>171</v>
      </c>
      <c r="B172" s="2">
        <v>43729</v>
      </c>
      <c r="C172" t="s">
        <v>30</v>
      </c>
      <c r="D172" t="s">
        <v>38</v>
      </c>
      <c r="E172" t="s">
        <v>14</v>
      </c>
      <c r="F172">
        <v>35</v>
      </c>
      <c r="G172">
        <v>6585</v>
      </c>
      <c r="H172">
        <v>6</v>
      </c>
      <c r="I172">
        <v>1</v>
      </c>
      <c r="J172" t="s">
        <v>15</v>
      </c>
      <c r="K172" t="s">
        <v>32</v>
      </c>
      <c r="L172" t="s">
        <v>21</v>
      </c>
      <c r="M172">
        <v>79020</v>
      </c>
      <c r="N172" t="s">
        <v>46</v>
      </c>
      <c r="O172" t="s">
        <v>50</v>
      </c>
      <c r="P172" t="s">
        <v>51</v>
      </c>
    </row>
    <row r="173" spans="1:16" x14ac:dyDescent="0.2">
      <c r="A173">
        <v>172</v>
      </c>
      <c r="B173" s="2">
        <v>41365</v>
      </c>
      <c r="C173" t="s">
        <v>18</v>
      </c>
      <c r="D173" t="s">
        <v>19</v>
      </c>
      <c r="E173" t="s">
        <v>14</v>
      </c>
      <c r="F173">
        <v>38</v>
      </c>
      <c r="G173">
        <v>4363</v>
      </c>
      <c r="H173">
        <v>1</v>
      </c>
      <c r="I173">
        <v>5</v>
      </c>
      <c r="J173" t="s">
        <v>15</v>
      </c>
      <c r="K173" t="s">
        <v>16</v>
      </c>
      <c r="L173" t="s">
        <v>39</v>
      </c>
      <c r="M173">
        <v>52356</v>
      </c>
      <c r="N173" t="s">
        <v>46</v>
      </c>
      <c r="O173" t="s">
        <v>54</v>
      </c>
      <c r="P173" t="s">
        <v>53</v>
      </c>
    </row>
    <row r="174" spans="1:16" x14ac:dyDescent="0.2">
      <c r="A174">
        <v>173</v>
      </c>
      <c r="B174" s="2">
        <v>40544</v>
      </c>
      <c r="C174" t="s">
        <v>28</v>
      </c>
      <c r="D174" t="s">
        <v>33</v>
      </c>
      <c r="E174" t="s">
        <v>14</v>
      </c>
      <c r="F174">
        <v>54</v>
      </c>
      <c r="G174">
        <v>19206</v>
      </c>
      <c r="H174">
        <v>4</v>
      </c>
      <c r="I174">
        <v>4</v>
      </c>
      <c r="J174" t="s">
        <v>15</v>
      </c>
      <c r="K174" t="s">
        <v>27</v>
      </c>
      <c r="L174" t="s">
        <v>25</v>
      </c>
      <c r="M174">
        <v>230472</v>
      </c>
      <c r="N174" t="s">
        <v>47</v>
      </c>
      <c r="O174" t="s">
        <v>50</v>
      </c>
      <c r="P174" t="s">
        <v>53</v>
      </c>
    </row>
    <row r="175" spans="1:16" x14ac:dyDescent="0.2">
      <c r="A175">
        <v>174</v>
      </c>
      <c r="B175" s="2">
        <v>40537</v>
      </c>
      <c r="C175" t="s">
        <v>28</v>
      </c>
      <c r="D175" t="s">
        <v>33</v>
      </c>
      <c r="E175" t="s">
        <v>14</v>
      </c>
      <c r="F175">
        <v>38</v>
      </c>
      <c r="G175">
        <v>13334</v>
      </c>
      <c r="H175">
        <v>4</v>
      </c>
      <c r="I175">
        <v>3</v>
      </c>
      <c r="J175" t="s">
        <v>20</v>
      </c>
      <c r="K175" t="s">
        <v>32</v>
      </c>
      <c r="L175" t="s">
        <v>17</v>
      </c>
      <c r="M175">
        <v>160008</v>
      </c>
      <c r="N175" t="s">
        <v>46</v>
      </c>
      <c r="O175" t="s">
        <v>50</v>
      </c>
      <c r="P175" t="s">
        <v>55</v>
      </c>
    </row>
    <row r="176" spans="1:16" x14ac:dyDescent="0.2">
      <c r="A176">
        <v>175</v>
      </c>
      <c r="B176" s="2">
        <v>43633</v>
      </c>
      <c r="C176" t="s">
        <v>30</v>
      </c>
      <c r="D176" t="s">
        <v>31</v>
      </c>
      <c r="E176" t="s">
        <v>14</v>
      </c>
      <c r="F176">
        <v>25</v>
      </c>
      <c r="G176">
        <v>11884</v>
      </c>
      <c r="H176">
        <v>15</v>
      </c>
      <c r="I176">
        <v>2</v>
      </c>
      <c r="J176" t="s">
        <v>20</v>
      </c>
      <c r="K176" t="s">
        <v>32</v>
      </c>
      <c r="L176" t="s">
        <v>17</v>
      </c>
      <c r="M176">
        <v>142608</v>
      </c>
      <c r="N176" t="s">
        <v>45</v>
      </c>
      <c r="O176" t="s">
        <v>52</v>
      </c>
      <c r="P176" t="s">
        <v>51</v>
      </c>
    </row>
    <row r="177" spans="1:16" x14ac:dyDescent="0.2">
      <c r="A177">
        <v>176</v>
      </c>
      <c r="B177" s="2">
        <v>43363</v>
      </c>
      <c r="C177" t="s">
        <v>22</v>
      </c>
      <c r="D177" t="s">
        <v>23</v>
      </c>
      <c r="E177" t="s">
        <v>24</v>
      </c>
      <c r="F177">
        <v>46</v>
      </c>
      <c r="G177">
        <v>11618</v>
      </c>
      <c r="H177">
        <v>11</v>
      </c>
      <c r="I177">
        <v>4</v>
      </c>
      <c r="J177" t="s">
        <v>15</v>
      </c>
      <c r="K177" t="s">
        <v>27</v>
      </c>
      <c r="L177" t="s">
        <v>34</v>
      </c>
      <c r="M177">
        <v>139416</v>
      </c>
      <c r="N177" t="s">
        <v>47</v>
      </c>
      <c r="O177" t="s">
        <v>52</v>
      </c>
      <c r="P177" t="s">
        <v>53</v>
      </c>
    </row>
    <row r="178" spans="1:16" x14ac:dyDescent="0.2">
      <c r="A178">
        <v>177</v>
      </c>
      <c r="B178" s="2">
        <v>42453</v>
      </c>
      <c r="C178" t="s">
        <v>28</v>
      </c>
      <c r="D178" t="s">
        <v>33</v>
      </c>
      <c r="E178" t="s">
        <v>24</v>
      </c>
      <c r="F178">
        <v>35</v>
      </c>
      <c r="G178">
        <v>16157</v>
      </c>
      <c r="H178">
        <v>7</v>
      </c>
      <c r="I178">
        <v>2</v>
      </c>
      <c r="J178" t="s">
        <v>20</v>
      </c>
      <c r="K178" t="s">
        <v>27</v>
      </c>
      <c r="L178" t="s">
        <v>17</v>
      </c>
      <c r="M178">
        <v>193884</v>
      </c>
      <c r="N178" t="s">
        <v>46</v>
      </c>
      <c r="O178" t="s">
        <v>50</v>
      </c>
      <c r="P178" t="s">
        <v>51</v>
      </c>
    </row>
    <row r="179" spans="1:16" x14ac:dyDescent="0.2">
      <c r="A179">
        <v>178</v>
      </c>
      <c r="B179" s="2">
        <v>44795</v>
      </c>
      <c r="C179" t="s">
        <v>12</v>
      </c>
      <c r="D179" t="s">
        <v>41</v>
      </c>
      <c r="E179" t="s">
        <v>14</v>
      </c>
      <c r="F179">
        <v>42</v>
      </c>
      <c r="G179">
        <v>14590</v>
      </c>
      <c r="H179">
        <v>9</v>
      </c>
      <c r="I179">
        <v>3</v>
      </c>
      <c r="J179" t="s">
        <v>15</v>
      </c>
      <c r="K179" t="s">
        <v>16</v>
      </c>
      <c r="L179" t="s">
        <v>21</v>
      </c>
      <c r="M179">
        <v>175080</v>
      </c>
      <c r="N179" t="s">
        <v>46</v>
      </c>
      <c r="O179" t="s">
        <v>52</v>
      </c>
      <c r="P179" t="s">
        <v>55</v>
      </c>
    </row>
    <row r="180" spans="1:16" x14ac:dyDescent="0.2">
      <c r="A180">
        <v>179</v>
      </c>
      <c r="B180" s="2">
        <v>44119</v>
      </c>
      <c r="C180" t="s">
        <v>22</v>
      </c>
      <c r="D180" t="s">
        <v>23</v>
      </c>
      <c r="E180" t="s">
        <v>14</v>
      </c>
      <c r="F180">
        <v>45</v>
      </c>
      <c r="G180">
        <v>5571</v>
      </c>
      <c r="H180">
        <v>13</v>
      </c>
      <c r="I180">
        <v>4</v>
      </c>
      <c r="J180" t="s">
        <v>20</v>
      </c>
      <c r="K180" t="s">
        <v>16</v>
      </c>
      <c r="L180" t="s">
        <v>25</v>
      </c>
      <c r="M180">
        <v>66852</v>
      </c>
      <c r="N180" t="s">
        <v>46</v>
      </c>
      <c r="O180" t="s">
        <v>52</v>
      </c>
      <c r="P180" t="s">
        <v>53</v>
      </c>
    </row>
    <row r="181" spans="1:16" x14ac:dyDescent="0.2">
      <c r="A181">
        <v>180</v>
      </c>
      <c r="B181" s="2">
        <v>40892</v>
      </c>
      <c r="C181" t="s">
        <v>22</v>
      </c>
      <c r="D181" t="s">
        <v>35</v>
      </c>
      <c r="E181" t="s">
        <v>24</v>
      </c>
      <c r="F181">
        <v>54</v>
      </c>
      <c r="G181">
        <v>6306</v>
      </c>
      <c r="H181">
        <v>8</v>
      </c>
      <c r="I181">
        <v>5</v>
      </c>
      <c r="J181" t="s">
        <v>15</v>
      </c>
      <c r="K181" t="s">
        <v>27</v>
      </c>
      <c r="L181" t="s">
        <v>25</v>
      </c>
      <c r="M181">
        <v>75672</v>
      </c>
      <c r="N181" t="s">
        <v>47</v>
      </c>
      <c r="O181" t="s">
        <v>52</v>
      </c>
      <c r="P181" t="s">
        <v>53</v>
      </c>
    </row>
    <row r="182" spans="1:16" x14ac:dyDescent="0.2">
      <c r="A182">
        <v>181</v>
      </c>
      <c r="B182" s="2">
        <v>40668</v>
      </c>
      <c r="C182" t="s">
        <v>28</v>
      </c>
      <c r="D182" t="s">
        <v>33</v>
      </c>
      <c r="E182" t="s">
        <v>14</v>
      </c>
      <c r="F182">
        <v>59</v>
      </c>
      <c r="G182">
        <v>13963</v>
      </c>
      <c r="H182">
        <v>10</v>
      </c>
      <c r="I182">
        <v>4</v>
      </c>
      <c r="J182" t="s">
        <v>15</v>
      </c>
      <c r="K182" t="s">
        <v>27</v>
      </c>
      <c r="L182" t="s">
        <v>21</v>
      </c>
      <c r="M182">
        <v>167556</v>
      </c>
      <c r="N182" t="s">
        <v>47</v>
      </c>
      <c r="O182" t="s">
        <v>52</v>
      </c>
      <c r="P182" t="s">
        <v>53</v>
      </c>
    </row>
    <row r="183" spans="1:16" x14ac:dyDescent="0.2">
      <c r="A183">
        <v>182</v>
      </c>
      <c r="B183" s="2">
        <v>42493</v>
      </c>
      <c r="C183" t="s">
        <v>36</v>
      </c>
      <c r="D183" t="s">
        <v>42</v>
      </c>
      <c r="E183" t="s">
        <v>24</v>
      </c>
      <c r="F183">
        <v>29</v>
      </c>
      <c r="G183">
        <v>19266</v>
      </c>
      <c r="H183">
        <v>14</v>
      </c>
      <c r="I183">
        <v>4</v>
      </c>
      <c r="J183" t="s">
        <v>20</v>
      </c>
      <c r="K183" t="s">
        <v>32</v>
      </c>
      <c r="L183" t="s">
        <v>25</v>
      </c>
      <c r="M183">
        <v>231192</v>
      </c>
      <c r="N183" t="s">
        <v>45</v>
      </c>
      <c r="O183" t="s">
        <v>52</v>
      </c>
      <c r="P183" t="s">
        <v>53</v>
      </c>
    </row>
    <row r="184" spans="1:16" x14ac:dyDescent="0.2">
      <c r="A184">
        <v>183</v>
      </c>
      <c r="B184" s="2">
        <v>43962</v>
      </c>
      <c r="C184" t="s">
        <v>18</v>
      </c>
      <c r="D184" t="s">
        <v>26</v>
      </c>
      <c r="E184" t="s">
        <v>14</v>
      </c>
      <c r="F184">
        <v>28</v>
      </c>
      <c r="G184">
        <v>13020</v>
      </c>
      <c r="H184">
        <v>8</v>
      </c>
      <c r="I184">
        <v>5</v>
      </c>
      <c r="J184" t="s">
        <v>15</v>
      </c>
      <c r="K184" t="s">
        <v>27</v>
      </c>
      <c r="L184" t="s">
        <v>21</v>
      </c>
      <c r="M184">
        <v>156240</v>
      </c>
      <c r="N184" t="s">
        <v>45</v>
      </c>
      <c r="O184" t="s">
        <v>52</v>
      </c>
      <c r="P184" t="s">
        <v>53</v>
      </c>
    </row>
    <row r="185" spans="1:16" x14ac:dyDescent="0.2">
      <c r="A185">
        <v>184</v>
      </c>
      <c r="B185" s="2">
        <v>43670</v>
      </c>
      <c r="C185" t="s">
        <v>22</v>
      </c>
      <c r="D185" t="s">
        <v>23</v>
      </c>
      <c r="E185" t="s">
        <v>14</v>
      </c>
      <c r="F185">
        <v>23</v>
      </c>
      <c r="G185">
        <v>8712</v>
      </c>
      <c r="H185">
        <v>7</v>
      </c>
      <c r="I185">
        <v>5</v>
      </c>
      <c r="J185" t="s">
        <v>15</v>
      </c>
      <c r="K185" t="s">
        <v>32</v>
      </c>
      <c r="L185" t="s">
        <v>21</v>
      </c>
      <c r="M185">
        <v>104544</v>
      </c>
      <c r="N185" t="s">
        <v>45</v>
      </c>
      <c r="O185" t="s">
        <v>50</v>
      </c>
      <c r="P185" t="s">
        <v>53</v>
      </c>
    </row>
    <row r="186" spans="1:16" x14ac:dyDescent="0.2">
      <c r="A186">
        <v>185</v>
      </c>
      <c r="B186" s="2">
        <v>40680</v>
      </c>
      <c r="C186" t="s">
        <v>12</v>
      </c>
      <c r="D186" t="s">
        <v>13</v>
      </c>
      <c r="E186" t="s">
        <v>24</v>
      </c>
      <c r="F186">
        <v>48</v>
      </c>
      <c r="G186">
        <v>4601</v>
      </c>
      <c r="H186">
        <v>3</v>
      </c>
      <c r="I186">
        <v>3</v>
      </c>
      <c r="J186" t="s">
        <v>15</v>
      </c>
      <c r="K186" t="s">
        <v>16</v>
      </c>
      <c r="L186" t="s">
        <v>25</v>
      </c>
      <c r="M186">
        <v>55212</v>
      </c>
      <c r="N186" t="s">
        <v>47</v>
      </c>
      <c r="O186" t="s">
        <v>50</v>
      </c>
      <c r="P186" t="s">
        <v>55</v>
      </c>
    </row>
    <row r="187" spans="1:16" x14ac:dyDescent="0.2">
      <c r="A187">
        <v>186</v>
      </c>
      <c r="B187" s="2">
        <v>43117</v>
      </c>
      <c r="C187" t="s">
        <v>18</v>
      </c>
      <c r="D187" t="s">
        <v>19</v>
      </c>
      <c r="E187" t="s">
        <v>24</v>
      </c>
      <c r="F187">
        <v>47</v>
      </c>
      <c r="G187">
        <v>15035</v>
      </c>
      <c r="H187">
        <v>3</v>
      </c>
      <c r="I187">
        <v>2</v>
      </c>
      <c r="J187" t="s">
        <v>15</v>
      </c>
      <c r="K187" t="s">
        <v>16</v>
      </c>
      <c r="L187" t="s">
        <v>39</v>
      </c>
      <c r="M187">
        <v>180420</v>
      </c>
      <c r="N187" t="s">
        <v>47</v>
      </c>
      <c r="O187" t="s">
        <v>50</v>
      </c>
      <c r="P187" t="s">
        <v>51</v>
      </c>
    </row>
    <row r="188" spans="1:16" x14ac:dyDescent="0.2">
      <c r="A188">
        <v>187</v>
      </c>
      <c r="B188" s="2">
        <v>40374</v>
      </c>
      <c r="C188" t="s">
        <v>12</v>
      </c>
      <c r="D188" t="s">
        <v>41</v>
      </c>
      <c r="E188" t="s">
        <v>14</v>
      </c>
      <c r="F188">
        <v>53</v>
      </c>
      <c r="G188">
        <v>12715</v>
      </c>
      <c r="H188">
        <v>4</v>
      </c>
      <c r="I188">
        <v>5</v>
      </c>
      <c r="J188" t="s">
        <v>15</v>
      </c>
      <c r="K188" t="s">
        <v>27</v>
      </c>
      <c r="L188" t="s">
        <v>34</v>
      </c>
      <c r="M188">
        <v>152580</v>
      </c>
      <c r="N188" t="s">
        <v>47</v>
      </c>
      <c r="O188" t="s">
        <v>50</v>
      </c>
      <c r="P188" t="s">
        <v>53</v>
      </c>
    </row>
    <row r="189" spans="1:16" x14ac:dyDescent="0.2">
      <c r="A189">
        <v>188</v>
      </c>
      <c r="B189" s="2">
        <v>40711</v>
      </c>
      <c r="C189" t="s">
        <v>30</v>
      </c>
      <c r="D189" t="s">
        <v>38</v>
      </c>
      <c r="E189" t="s">
        <v>24</v>
      </c>
      <c r="F189">
        <v>43</v>
      </c>
      <c r="G189">
        <v>13920</v>
      </c>
      <c r="H189">
        <v>6</v>
      </c>
      <c r="I189">
        <v>2</v>
      </c>
      <c r="J189" t="s">
        <v>20</v>
      </c>
      <c r="K189" t="s">
        <v>32</v>
      </c>
      <c r="L189" t="s">
        <v>25</v>
      </c>
      <c r="M189">
        <v>167040</v>
      </c>
      <c r="N189" t="s">
        <v>46</v>
      </c>
      <c r="O189" t="s">
        <v>50</v>
      </c>
      <c r="P189" t="s">
        <v>51</v>
      </c>
    </row>
    <row r="190" spans="1:16" x14ac:dyDescent="0.2">
      <c r="A190">
        <v>189</v>
      </c>
      <c r="B190" s="2">
        <v>43768</v>
      </c>
      <c r="C190" t="s">
        <v>12</v>
      </c>
      <c r="D190" t="s">
        <v>13</v>
      </c>
      <c r="E190" t="s">
        <v>24</v>
      </c>
      <c r="F190">
        <v>33</v>
      </c>
      <c r="G190">
        <v>12249</v>
      </c>
      <c r="H190">
        <v>9</v>
      </c>
      <c r="I190">
        <v>2</v>
      </c>
      <c r="J190" t="s">
        <v>15</v>
      </c>
      <c r="K190" t="s">
        <v>16</v>
      </c>
      <c r="L190" t="s">
        <v>25</v>
      </c>
      <c r="M190">
        <v>146988</v>
      </c>
      <c r="N190" t="s">
        <v>46</v>
      </c>
      <c r="O190" t="s">
        <v>52</v>
      </c>
      <c r="P190" t="s">
        <v>51</v>
      </c>
    </row>
    <row r="191" spans="1:16" x14ac:dyDescent="0.2">
      <c r="A191">
        <v>190</v>
      </c>
      <c r="B191" s="2">
        <v>42866</v>
      </c>
      <c r="C191" t="s">
        <v>12</v>
      </c>
      <c r="D191" t="s">
        <v>41</v>
      </c>
      <c r="E191" t="s">
        <v>14</v>
      </c>
      <c r="F191">
        <v>39</v>
      </c>
      <c r="G191">
        <v>12697</v>
      </c>
      <c r="H191">
        <v>5</v>
      </c>
      <c r="I191">
        <v>2</v>
      </c>
      <c r="J191" t="s">
        <v>15</v>
      </c>
      <c r="K191" t="s">
        <v>16</v>
      </c>
      <c r="L191" t="s">
        <v>39</v>
      </c>
      <c r="M191">
        <v>152364</v>
      </c>
      <c r="N191" t="s">
        <v>46</v>
      </c>
      <c r="O191" t="s">
        <v>50</v>
      </c>
      <c r="P191" t="s">
        <v>51</v>
      </c>
    </row>
    <row r="192" spans="1:16" x14ac:dyDescent="0.2">
      <c r="A192">
        <v>191</v>
      </c>
      <c r="B192" s="2">
        <v>41539</v>
      </c>
      <c r="C192" t="s">
        <v>30</v>
      </c>
      <c r="D192" t="s">
        <v>38</v>
      </c>
      <c r="E192" t="s">
        <v>14</v>
      </c>
      <c r="F192">
        <v>54</v>
      </c>
      <c r="G192">
        <v>16006</v>
      </c>
      <c r="H192">
        <v>4</v>
      </c>
      <c r="I192">
        <v>3</v>
      </c>
      <c r="J192" t="s">
        <v>20</v>
      </c>
      <c r="K192" t="s">
        <v>32</v>
      </c>
      <c r="L192" t="s">
        <v>21</v>
      </c>
      <c r="M192">
        <v>192072</v>
      </c>
      <c r="N192" t="s">
        <v>47</v>
      </c>
      <c r="O192" t="s">
        <v>50</v>
      </c>
      <c r="P192" t="s">
        <v>55</v>
      </c>
    </row>
    <row r="193" spans="1:16" x14ac:dyDescent="0.2">
      <c r="A193">
        <v>192</v>
      </c>
      <c r="B193" s="2">
        <v>43348</v>
      </c>
      <c r="C193" t="s">
        <v>12</v>
      </c>
      <c r="D193" t="s">
        <v>13</v>
      </c>
      <c r="E193" t="s">
        <v>14</v>
      </c>
      <c r="F193">
        <v>31</v>
      </c>
      <c r="G193">
        <v>8902</v>
      </c>
      <c r="H193">
        <v>8</v>
      </c>
      <c r="I193">
        <v>1</v>
      </c>
      <c r="J193" t="s">
        <v>15</v>
      </c>
      <c r="K193" t="s">
        <v>32</v>
      </c>
      <c r="L193" t="s">
        <v>21</v>
      </c>
      <c r="M193">
        <v>106824</v>
      </c>
      <c r="N193" t="s">
        <v>46</v>
      </c>
      <c r="O193" t="s">
        <v>52</v>
      </c>
      <c r="P193" t="s">
        <v>51</v>
      </c>
    </row>
    <row r="194" spans="1:16" x14ac:dyDescent="0.2">
      <c r="A194">
        <v>193</v>
      </c>
      <c r="B194" s="2">
        <v>44065</v>
      </c>
      <c r="C194" t="s">
        <v>30</v>
      </c>
      <c r="D194" t="s">
        <v>31</v>
      </c>
      <c r="E194" t="s">
        <v>24</v>
      </c>
      <c r="F194">
        <v>36</v>
      </c>
      <c r="G194">
        <v>17042</v>
      </c>
      <c r="H194">
        <v>3</v>
      </c>
      <c r="I194">
        <v>1</v>
      </c>
      <c r="J194" t="s">
        <v>15</v>
      </c>
      <c r="K194" t="s">
        <v>32</v>
      </c>
      <c r="L194" t="s">
        <v>34</v>
      </c>
      <c r="M194">
        <v>204504</v>
      </c>
      <c r="N194" t="s">
        <v>46</v>
      </c>
      <c r="O194" t="s">
        <v>50</v>
      </c>
      <c r="P194" t="s">
        <v>51</v>
      </c>
    </row>
    <row r="195" spans="1:16" x14ac:dyDescent="0.2">
      <c r="A195">
        <v>194</v>
      </c>
      <c r="B195" s="2">
        <v>43209</v>
      </c>
      <c r="C195" t="s">
        <v>30</v>
      </c>
      <c r="D195" t="s">
        <v>31</v>
      </c>
      <c r="E195" t="s">
        <v>24</v>
      </c>
      <c r="F195">
        <v>38</v>
      </c>
      <c r="G195">
        <v>6717</v>
      </c>
      <c r="H195">
        <v>12</v>
      </c>
      <c r="I195">
        <v>3</v>
      </c>
      <c r="J195" t="s">
        <v>20</v>
      </c>
      <c r="K195" t="s">
        <v>27</v>
      </c>
      <c r="L195" t="s">
        <v>39</v>
      </c>
      <c r="M195">
        <v>80604</v>
      </c>
      <c r="N195" t="s">
        <v>46</v>
      </c>
      <c r="O195" t="s">
        <v>52</v>
      </c>
      <c r="P195" t="s">
        <v>55</v>
      </c>
    </row>
    <row r="196" spans="1:16" x14ac:dyDescent="0.2">
      <c r="A196">
        <v>195</v>
      </c>
      <c r="B196" s="2">
        <v>40194</v>
      </c>
      <c r="C196" t="s">
        <v>36</v>
      </c>
      <c r="D196" t="s">
        <v>42</v>
      </c>
      <c r="E196" t="s">
        <v>24</v>
      </c>
      <c r="F196">
        <v>46</v>
      </c>
      <c r="G196">
        <v>19076</v>
      </c>
      <c r="H196">
        <v>6</v>
      </c>
      <c r="I196">
        <v>2</v>
      </c>
      <c r="J196" t="s">
        <v>20</v>
      </c>
      <c r="K196" t="s">
        <v>32</v>
      </c>
      <c r="L196" t="s">
        <v>17</v>
      </c>
      <c r="M196">
        <v>228912</v>
      </c>
      <c r="N196" t="s">
        <v>47</v>
      </c>
      <c r="O196" t="s">
        <v>50</v>
      </c>
      <c r="P196" t="s">
        <v>51</v>
      </c>
    </row>
    <row r="197" spans="1:16" x14ac:dyDescent="0.2">
      <c r="A197">
        <v>196</v>
      </c>
      <c r="B197" s="2">
        <v>43020</v>
      </c>
      <c r="C197" t="s">
        <v>36</v>
      </c>
      <c r="D197" t="s">
        <v>42</v>
      </c>
      <c r="E197" t="s">
        <v>24</v>
      </c>
      <c r="F197">
        <v>37</v>
      </c>
      <c r="G197">
        <v>10907</v>
      </c>
      <c r="H197">
        <v>8</v>
      </c>
      <c r="I197">
        <v>3</v>
      </c>
      <c r="J197" t="s">
        <v>15</v>
      </c>
      <c r="K197" t="s">
        <v>32</v>
      </c>
      <c r="L197" t="s">
        <v>39</v>
      </c>
      <c r="M197">
        <v>130884</v>
      </c>
      <c r="N197" t="s">
        <v>46</v>
      </c>
      <c r="O197" t="s">
        <v>52</v>
      </c>
      <c r="P197" t="s">
        <v>55</v>
      </c>
    </row>
    <row r="198" spans="1:16" x14ac:dyDescent="0.2">
      <c r="A198">
        <v>197</v>
      </c>
      <c r="B198" s="2">
        <v>43145</v>
      </c>
      <c r="C198" t="s">
        <v>36</v>
      </c>
      <c r="D198" t="s">
        <v>40</v>
      </c>
      <c r="E198" t="s">
        <v>14</v>
      </c>
      <c r="F198">
        <v>24</v>
      </c>
      <c r="G198">
        <v>5215</v>
      </c>
      <c r="H198">
        <v>1</v>
      </c>
      <c r="I198">
        <v>4</v>
      </c>
      <c r="J198" t="s">
        <v>15</v>
      </c>
      <c r="K198" t="s">
        <v>16</v>
      </c>
      <c r="L198" t="s">
        <v>17</v>
      </c>
      <c r="M198">
        <v>62580</v>
      </c>
      <c r="N198" t="s">
        <v>45</v>
      </c>
      <c r="O198" t="s">
        <v>54</v>
      </c>
      <c r="P198" t="s">
        <v>53</v>
      </c>
    </row>
    <row r="199" spans="1:16" x14ac:dyDescent="0.2">
      <c r="A199">
        <v>198</v>
      </c>
      <c r="B199" s="2">
        <v>44717</v>
      </c>
      <c r="C199" t="s">
        <v>18</v>
      </c>
      <c r="D199" t="s">
        <v>19</v>
      </c>
      <c r="E199" t="s">
        <v>14</v>
      </c>
      <c r="F199">
        <v>34</v>
      </c>
      <c r="G199">
        <v>19715</v>
      </c>
      <c r="H199">
        <v>6</v>
      </c>
      <c r="I199">
        <v>1</v>
      </c>
      <c r="J199" t="s">
        <v>15</v>
      </c>
      <c r="K199" t="s">
        <v>32</v>
      </c>
      <c r="L199" t="s">
        <v>21</v>
      </c>
      <c r="M199">
        <v>236580</v>
      </c>
      <c r="N199" t="s">
        <v>46</v>
      </c>
      <c r="O199" t="s">
        <v>50</v>
      </c>
      <c r="P199" t="s">
        <v>51</v>
      </c>
    </row>
    <row r="200" spans="1:16" x14ac:dyDescent="0.2">
      <c r="A200">
        <v>199</v>
      </c>
      <c r="B200" s="2">
        <v>40584</v>
      </c>
      <c r="C200" t="s">
        <v>18</v>
      </c>
      <c r="D200" t="s">
        <v>19</v>
      </c>
      <c r="E200" t="s">
        <v>14</v>
      </c>
      <c r="F200">
        <v>43</v>
      </c>
      <c r="G200">
        <v>17290</v>
      </c>
      <c r="H200">
        <v>11</v>
      </c>
      <c r="I200">
        <v>4</v>
      </c>
      <c r="J200" t="s">
        <v>15</v>
      </c>
      <c r="K200" t="s">
        <v>32</v>
      </c>
      <c r="L200" t="s">
        <v>39</v>
      </c>
      <c r="M200">
        <v>207480</v>
      </c>
      <c r="N200" t="s">
        <v>46</v>
      </c>
      <c r="O200" t="s">
        <v>52</v>
      </c>
      <c r="P200" t="s">
        <v>53</v>
      </c>
    </row>
    <row r="201" spans="1:16" x14ac:dyDescent="0.2">
      <c r="A201">
        <v>200</v>
      </c>
      <c r="B201" s="2">
        <v>43010</v>
      </c>
      <c r="C201" t="s">
        <v>36</v>
      </c>
      <c r="D201" t="s">
        <v>42</v>
      </c>
      <c r="E201" t="s">
        <v>14</v>
      </c>
      <c r="F201">
        <v>56</v>
      </c>
      <c r="G201">
        <v>16313</v>
      </c>
      <c r="H201">
        <v>12</v>
      </c>
      <c r="I201">
        <v>3</v>
      </c>
      <c r="J201" t="s">
        <v>15</v>
      </c>
      <c r="K201" t="s">
        <v>16</v>
      </c>
      <c r="L201" t="s">
        <v>21</v>
      </c>
      <c r="M201">
        <v>195756</v>
      </c>
      <c r="N201" t="s">
        <v>47</v>
      </c>
      <c r="O201" t="s">
        <v>52</v>
      </c>
      <c r="P201" t="s">
        <v>55</v>
      </c>
    </row>
    <row r="202" spans="1:16" x14ac:dyDescent="0.2">
      <c r="A202">
        <v>201</v>
      </c>
      <c r="B202" s="2">
        <v>42562</v>
      </c>
      <c r="C202" t="s">
        <v>30</v>
      </c>
      <c r="D202" t="s">
        <v>38</v>
      </c>
      <c r="E202" t="s">
        <v>24</v>
      </c>
      <c r="F202">
        <v>23</v>
      </c>
      <c r="G202">
        <v>11129</v>
      </c>
      <c r="H202">
        <v>2</v>
      </c>
      <c r="I202">
        <v>4</v>
      </c>
      <c r="J202" t="s">
        <v>15</v>
      </c>
      <c r="K202" t="s">
        <v>32</v>
      </c>
      <c r="L202" t="s">
        <v>34</v>
      </c>
      <c r="M202">
        <v>133548</v>
      </c>
      <c r="N202" t="s">
        <v>45</v>
      </c>
      <c r="O202" t="s">
        <v>54</v>
      </c>
      <c r="P202" t="s">
        <v>53</v>
      </c>
    </row>
    <row r="203" spans="1:16" x14ac:dyDescent="0.2">
      <c r="A203">
        <v>202</v>
      </c>
      <c r="B203" s="2">
        <v>42567</v>
      </c>
      <c r="C203" t="s">
        <v>30</v>
      </c>
      <c r="D203" t="s">
        <v>38</v>
      </c>
      <c r="E203" t="s">
        <v>24</v>
      </c>
      <c r="F203">
        <v>23</v>
      </c>
      <c r="G203">
        <v>8446</v>
      </c>
      <c r="H203">
        <v>3</v>
      </c>
      <c r="I203">
        <v>4</v>
      </c>
      <c r="J203" t="s">
        <v>15</v>
      </c>
      <c r="K203" t="s">
        <v>16</v>
      </c>
      <c r="L203" t="s">
        <v>17</v>
      </c>
      <c r="M203">
        <v>101352</v>
      </c>
      <c r="N203" t="s">
        <v>45</v>
      </c>
      <c r="O203" t="s">
        <v>50</v>
      </c>
      <c r="P203" t="s">
        <v>53</v>
      </c>
    </row>
    <row r="204" spans="1:16" x14ac:dyDescent="0.2">
      <c r="A204">
        <v>203</v>
      </c>
      <c r="B204" s="2">
        <v>44768</v>
      </c>
      <c r="C204" t="s">
        <v>28</v>
      </c>
      <c r="D204" t="s">
        <v>33</v>
      </c>
      <c r="E204" t="s">
        <v>24</v>
      </c>
      <c r="F204">
        <v>53</v>
      </c>
      <c r="G204">
        <v>19577</v>
      </c>
      <c r="H204">
        <v>12</v>
      </c>
      <c r="I204">
        <v>2</v>
      </c>
      <c r="J204" t="s">
        <v>15</v>
      </c>
      <c r="K204" t="s">
        <v>32</v>
      </c>
      <c r="L204" t="s">
        <v>34</v>
      </c>
      <c r="M204">
        <v>234924</v>
      </c>
      <c r="N204" t="s">
        <v>47</v>
      </c>
      <c r="O204" t="s">
        <v>52</v>
      </c>
      <c r="P204" t="s">
        <v>51</v>
      </c>
    </row>
    <row r="205" spans="1:16" x14ac:dyDescent="0.2">
      <c r="A205">
        <v>204</v>
      </c>
      <c r="B205" s="2">
        <v>44755</v>
      </c>
      <c r="C205" t="s">
        <v>28</v>
      </c>
      <c r="D205" t="s">
        <v>29</v>
      </c>
      <c r="E205" t="s">
        <v>14</v>
      </c>
      <c r="F205">
        <v>59</v>
      </c>
      <c r="G205">
        <v>17190</v>
      </c>
      <c r="H205">
        <v>10</v>
      </c>
      <c r="I205">
        <v>3</v>
      </c>
      <c r="J205" t="s">
        <v>15</v>
      </c>
      <c r="K205" t="s">
        <v>16</v>
      </c>
      <c r="L205" t="s">
        <v>25</v>
      </c>
      <c r="M205">
        <v>206280</v>
      </c>
      <c r="N205" t="s">
        <v>47</v>
      </c>
      <c r="O205" t="s">
        <v>52</v>
      </c>
      <c r="P205" t="s">
        <v>55</v>
      </c>
    </row>
    <row r="206" spans="1:16" x14ac:dyDescent="0.2">
      <c r="A206">
        <v>205</v>
      </c>
      <c r="B206" s="2">
        <v>42526</v>
      </c>
      <c r="C206" t="s">
        <v>22</v>
      </c>
      <c r="D206" t="s">
        <v>35</v>
      </c>
      <c r="E206" t="s">
        <v>24</v>
      </c>
      <c r="F206">
        <v>59</v>
      </c>
      <c r="G206">
        <v>7685</v>
      </c>
      <c r="H206">
        <v>0</v>
      </c>
      <c r="I206">
        <v>2</v>
      </c>
      <c r="J206" t="s">
        <v>20</v>
      </c>
      <c r="K206" t="s">
        <v>27</v>
      </c>
      <c r="L206" t="s">
        <v>21</v>
      </c>
      <c r="M206">
        <v>92220</v>
      </c>
      <c r="N206" t="s">
        <v>47</v>
      </c>
      <c r="O206" t="s">
        <v>54</v>
      </c>
      <c r="P206" t="s">
        <v>51</v>
      </c>
    </row>
    <row r="207" spans="1:16" x14ac:dyDescent="0.2">
      <c r="A207">
        <v>206</v>
      </c>
      <c r="B207" s="2">
        <v>42798</v>
      </c>
      <c r="C207" t="s">
        <v>22</v>
      </c>
      <c r="D207" t="s">
        <v>23</v>
      </c>
      <c r="E207" t="s">
        <v>14</v>
      </c>
      <c r="F207">
        <v>55</v>
      </c>
      <c r="G207">
        <v>14861</v>
      </c>
      <c r="H207">
        <v>4</v>
      </c>
      <c r="I207">
        <v>2</v>
      </c>
      <c r="J207" t="s">
        <v>15</v>
      </c>
      <c r="K207" t="s">
        <v>32</v>
      </c>
      <c r="L207" t="s">
        <v>34</v>
      </c>
      <c r="M207">
        <v>178332</v>
      </c>
      <c r="N207" t="s">
        <v>47</v>
      </c>
      <c r="O207" t="s">
        <v>50</v>
      </c>
      <c r="P207" t="s">
        <v>51</v>
      </c>
    </row>
    <row r="208" spans="1:16" x14ac:dyDescent="0.2">
      <c r="A208">
        <v>207</v>
      </c>
      <c r="B208" s="2">
        <v>41907</v>
      </c>
      <c r="C208" t="s">
        <v>28</v>
      </c>
      <c r="D208" t="s">
        <v>33</v>
      </c>
      <c r="E208" t="s">
        <v>14</v>
      </c>
      <c r="F208">
        <v>23</v>
      </c>
      <c r="G208">
        <v>12914</v>
      </c>
      <c r="H208">
        <v>15</v>
      </c>
      <c r="I208">
        <v>5</v>
      </c>
      <c r="J208" t="s">
        <v>15</v>
      </c>
      <c r="K208" t="s">
        <v>32</v>
      </c>
      <c r="L208" t="s">
        <v>21</v>
      </c>
      <c r="M208">
        <v>154968</v>
      </c>
      <c r="N208" t="s">
        <v>45</v>
      </c>
      <c r="O208" t="s">
        <v>52</v>
      </c>
      <c r="P208" t="s">
        <v>53</v>
      </c>
    </row>
    <row r="209" spans="1:16" x14ac:dyDescent="0.2">
      <c r="A209">
        <v>208</v>
      </c>
      <c r="B209" s="2">
        <v>41061</v>
      </c>
      <c r="C209" t="s">
        <v>22</v>
      </c>
      <c r="D209" t="s">
        <v>23</v>
      </c>
      <c r="E209" t="s">
        <v>14</v>
      </c>
      <c r="F209">
        <v>41</v>
      </c>
      <c r="G209">
        <v>19866</v>
      </c>
      <c r="H209">
        <v>9</v>
      </c>
      <c r="I209">
        <v>4</v>
      </c>
      <c r="J209" t="s">
        <v>15</v>
      </c>
      <c r="K209" t="s">
        <v>32</v>
      </c>
      <c r="L209" t="s">
        <v>34</v>
      </c>
      <c r="M209">
        <v>238392</v>
      </c>
      <c r="N209" t="s">
        <v>46</v>
      </c>
      <c r="O209" t="s">
        <v>52</v>
      </c>
      <c r="P209" t="s">
        <v>53</v>
      </c>
    </row>
    <row r="210" spans="1:16" x14ac:dyDescent="0.2">
      <c r="A210">
        <v>209</v>
      </c>
      <c r="B210" s="2">
        <v>42556</v>
      </c>
      <c r="C210" t="s">
        <v>12</v>
      </c>
      <c r="D210" t="s">
        <v>41</v>
      </c>
      <c r="E210" t="s">
        <v>24</v>
      </c>
      <c r="F210">
        <v>22</v>
      </c>
      <c r="G210">
        <v>8534</v>
      </c>
      <c r="H210">
        <v>0</v>
      </c>
      <c r="I210">
        <v>2</v>
      </c>
      <c r="J210" t="s">
        <v>15</v>
      </c>
      <c r="K210" t="s">
        <v>16</v>
      </c>
      <c r="L210" t="s">
        <v>34</v>
      </c>
      <c r="M210">
        <v>102408</v>
      </c>
      <c r="N210" t="s">
        <v>45</v>
      </c>
      <c r="O210" t="s">
        <v>54</v>
      </c>
      <c r="P210" t="s">
        <v>51</v>
      </c>
    </row>
    <row r="211" spans="1:16" x14ac:dyDescent="0.2">
      <c r="A211">
        <v>210</v>
      </c>
      <c r="B211" s="2">
        <v>40505</v>
      </c>
      <c r="C211" t="s">
        <v>36</v>
      </c>
      <c r="D211" t="s">
        <v>42</v>
      </c>
      <c r="E211" t="s">
        <v>14</v>
      </c>
      <c r="F211">
        <v>53</v>
      </c>
      <c r="G211">
        <v>13928</v>
      </c>
      <c r="H211">
        <v>7</v>
      </c>
      <c r="I211">
        <v>4</v>
      </c>
      <c r="J211" t="s">
        <v>15</v>
      </c>
      <c r="K211" t="s">
        <v>16</v>
      </c>
      <c r="L211" t="s">
        <v>39</v>
      </c>
      <c r="M211">
        <v>167136</v>
      </c>
      <c r="N211" t="s">
        <v>47</v>
      </c>
      <c r="O211" t="s">
        <v>50</v>
      </c>
      <c r="P211" t="s">
        <v>53</v>
      </c>
    </row>
    <row r="212" spans="1:16" x14ac:dyDescent="0.2">
      <c r="A212">
        <v>211</v>
      </c>
      <c r="B212" s="2">
        <v>40436</v>
      </c>
      <c r="C212" t="s">
        <v>18</v>
      </c>
      <c r="D212" t="s">
        <v>19</v>
      </c>
      <c r="E212" t="s">
        <v>14</v>
      </c>
      <c r="F212">
        <v>58</v>
      </c>
      <c r="G212">
        <v>17345</v>
      </c>
      <c r="H212">
        <v>1</v>
      </c>
      <c r="I212">
        <v>2</v>
      </c>
      <c r="J212" t="s">
        <v>15</v>
      </c>
      <c r="K212" t="s">
        <v>32</v>
      </c>
      <c r="L212" t="s">
        <v>21</v>
      </c>
      <c r="M212">
        <v>208140</v>
      </c>
      <c r="N212" t="s">
        <v>47</v>
      </c>
      <c r="O212" t="s">
        <v>54</v>
      </c>
      <c r="P212" t="s">
        <v>51</v>
      </c>
    </row>
    <row r="213" spans="1:16" x14ac:dyDescent="0.2">
      <c r="A213">
        <v>212</v>
      </c>
      <c r="B213" s="2">
        <v>42912</v>
      </c>
      <c r="C213" t="s">
        <v>36</v>
      </c>
      <c r="D213" t="s">
        <v>37</v>
      </c>
      <c r="E213" t="s">
        <v>24</v>
      </c>
      <c r="F213">
        <v>52</v>
      </c>
      <c r="G213">
        <v>4663</v>
      </c>
      <c r="H213">
        <v>11</v>
      </c>
      <c r="I213">
        <v>2</v>
      </c>
      <c r="J213" t="s">
        <v>20</v>
      </c>
      <c r="K213" t="s">
        <v>27</v>
      </c>
      <c r="L213" t="s">
        <v>25</v>
      </c>
      <c r="M213">
        <v>55956</v>
      </c>
      <c r="N213" t="s">
        <v>47</v>
      </c>
      <c r="O213" t="s">
        <v>52</v>
      </c>
      <c r="P213" t="s">
        <v>51</v>
      </c>
    </row>
    <row r="214" spans="1:16" x14ac:dyDescent="0.2">
      <c r="A214">
        <v>213</v>
      </c>
      <c r="B214" s="2">
        <v>40636</v>
      </c>
      <c r="C214" t="s">
        <v>22</v>
      </c>
      <c r="D214" t="s">
        <v>23</v>
      </c>
      <c r="E214" t="s">
        <v>24</v>
      </c>
      <c r="F214">
        <v>55</v>
      </c>
      <c r="G214">
        <v>9900</v>
      </c>
      <c r="H214">
        <v>8</v>
      </c>
      <c r="I214">
        <v>2</v>
      </c>
      <c r="J214" t="s">
        <v>20</v>
      </c>
      <c r="K214" t="s">
        <v>16</v>
      </c>
      <c r="L214" t="s">
        <v>34</v>
      </c>
      <c r="M214">
        <v>118800</v>
      </c>
      <c r="N214" t="s">
        <v>47</v>
      </c>
      <c r="O214" t="s">
        <v>52</v>
      </c>
      <c r="P214" t="s">
        <v>51</v>
      </c>
    </row>
    <row r="215" spans="1:16" x14ac:dyDescent="0.2">
      <c r="A215">
        <v>214</v>
      </c>
      <c r="B215" s="2">
        <v>42010</v>
      </c>
      <c r="C215" t="s">
        <v>36</v>
      </c>
      <c r="D215" t="s">
        <v>40</v>
      </c>
      <c r="E215" t="s">
        <v>14</v>
      </c>
      <c r="F215">
        <v>51</v>
      </c>
      <c r="G215">
        <v>7713</v>
      </c>
      <c r="H215">
        <v>12</v>
      </c>
      <c r="I215">
        <v>4</v>
      </c>
      <c r="J215" t="s">
        <v>15</v>
      </c>
      <c r="K215" t="s">
        <v>16</v>
      </c>
      <c r="L215" t="s">
        <v>34</v>
      </c>
      <c r="M215">
        <v>92556</v>
      </c>
      <c r="N215" t="s">
        <v>47</v>
      </c>
      <c r="O215" t="s">
        <v>52</v>
      </c>
      <c r="P215" t="s">
        <v>53</v>
      </c>
    </row>
    <row r="216" spans="1:16" x14ac:dyDescent="0.2">
      <c r="A216">
        <v>215</v>
      </c>
      <c r="B216" s="2">
        <v>43396</v>
      </c>
      <c r="C216" t="s">
        <v>18</v>
      </c>
      <c r="D216" t="s">
        <v>19</v>
      </c>
      <c r="E216" t="s">
        <v>14</v>
      </c>
      <c r="F216">
        <v>35</v>
      </c>
      <c r="G216">
        <v>19631</v>
      </c>
      <c r="H216">
        <v>11</v>
      </c>
      <c r="I216">
        <v>3</v>
      </c>
      <c r="J216" t="s">
        <v>20</v>
      </c>
      <c r="K216" t="s">
        <v>27</v>
      </c>
      <c r="L216" t="s">
        <v>17</v>
      </c>
      <c r="M216">
        <v>235572</v>
      </c>
      <c r="N216" t="s">
        <v>46</v>
      </c>
      <c r="O216" t="s">
        <v>52</v>
      </c>
      <c r="P216" t="s">
        <v>55</v>
      </c>
    </row>
    <row r="217" spans="1:16" x14ac:dyDescent="0.2">
      <c r="A217">
        <v>216</v>
      </c>
      <c r="B217" s="2">
        <v>44364</v>
      </c>
      <c r="C217" t="s">
        <v>28</v>
      </c>
      <c r="D217" t="s">
        <v>29</v>
      </c>
      <c r="E217" t="s">
        <v>14</v>
      </c>
      <c r="F217">
        <v>26</v>
      </c>
      <c r="G217">
        <v>12713</v>
      </c>
      <c r="H217">
        <v>3</v>
      </c>
      <c r="I217">
        <v>1</v>
      </c>
      <c r="J217" t="s">
        <v>20</v>
      </c>
      <c r="K217" t="s">
        <v>32</v>
      </c>
      <c r="L217" t="s">
        <v>25</v>
      </c>
      <c r="M217">
        <v>152556</v>
      </c>
      <c r="N217" t="s">
        <v>45</v>
      </c>
      <c r="O217" t="s">
        <v>50</v>
      </c>
      <c r="P217" t="s">
        <v>51</v>
      </c>
    </row>
    <row r="218" spans="1:16" x14ac:dyDescent="0.2">
      <c r="A218">
        <v>217</v>
      </c>
      <c r="B218" s="2">
        <v>41645</v>
      </c>
      <c r="C218" t="s">
        <v>36</v>
      </c>
      <c r="D218" t="s">
        <v>37</v>
      </c>
      <c r="E218" t="s">
        <v>24</v>
      </c>
      <c r="F218">
        <v>58</v>
      </c>
      <c r="G218">
        <v>6491</v>
      </c>
      <c r="H218">
        <v>2</v>
      </c>
      <c r="I218">
        <v>5</v>
      </c>
      <c r="J218" t="s">
        <v>15</v>
      </c>
      <c r="K218" t="s">
        <v>27</v>
      </c>
      <c r="L218" t="s">
        <v>17</v>
      </c>
      <c r="M218">
        <v>77892</v>
      </c>
      <c r="N218" t="s">
        <v>47</v>
      </c>
      <c r="O218" t="s">
        <v>54</v>
      </c>
      <c r="P218" t="s">
        <v>53</v>
      </c>
    </row>
    <row r="219" spans="1:16" x14ac:dyDescent="0.2">
      <c r="A219">
        <v>218</v>
      </c>
      <c r="B219" s="2">
        <v>43756</v>
      </c>
      <c r="C219" t="s">
        <v>30</v>
      </c>
      <c r="D219" t="s">
        <v>31</v>
      </c>
      <c r="E219" t="s">
        <v>24</v>
      </c>
      <c r="F219">
        <v>22</v>
      </c>
      <c r="G219">
        <v>10212</v>
      </c>
      <c r="H219">
        <v>7</v>
      </c>
      <c r="I219">
        <v>1</v>
      </c>
      <c r="J219" t="s">
        <v>20</v>
      </c>
      <c r="K219" t="s">
        <v>27</v>
      </c>
      <c r="L219" t="s">
        <v>34</v>
      </c>
      <c r="M219">
        <v>122544</v>
      </c>
      <c r="N219" t="s">
        <v>45</v>
      </c>
      <c r="O219" t="s">
        <v>50</v>
      </c>
      <c r="P219" t="s">
        <v>51</v>
      </c>
    </row>
    <row r="220" spans="1:16" x14ac:dyDescent="0.2">
      <c r="A220">
        <v>219</v>
      </c>
      <c r="B220" s="2">
        <v>43389</v>
      </c>
      <c r="C220" t="s">
        <v>22</v>
      </c>
      <c r="D220" t="s">
        <v>35</v>
      </c>
      <c r="E220" t="s">
        <v>24</v>
      </c>
      <c r="F220">
        <v>49</v>
      </c>
      <c r="G220">
        <v>11311</v>
      </c>
      <c r="H220">
        <v>14</v>
      </c>
      <c r="I220">
        <v>5</v>
      </c>
      <c r="J220" t="s">
        <v>20</v>
      </c>
      <c r="K220" t="s">
        <v>32</v>
      </c>
      <c r="L220" t="s">
        <v>34</v>
      </c>
      <c r="M220">
        <v>135732</v>
      </c>
      <c r="N220" t="s">
        <v>47</v>
      </c>
      <c r="O220" t="s">
        <v>52</v>
      </c>
      <c r="P220" t="s">
        <v>53</v>
      </c>
    </row>
    <row r="221" spans="1:16" x14ac:dyDescent="0.2">
      <c r="A221">
        <v>220</v>
      </c>
      <c r="B221" s="2">
        <v>43420</v>
      </c>
      <c r="C221" t="s">
        <v>36</v>
      </c>
      <c r="D221" t="s">
        <v>37</v>
      </c>
      <c r="E221" t="s">
        <v>24</v>
      </c>
      <c r="F221">
        <v>49</v>
      </c>
      <c r="G221">
        <v>12562</v>
      </c>
      <c r="H221">
        <v>8</v>
      </c>
      <c r="I221">
        <v>4</v>
      </c>
      <c r="J221" t="s">
        <v>15</v>
      </c>
      <c r="K221" t="s">
        <v>32</v>
      </c>
      <c r="L221" t="s">
        <v>21</v>
      </c>
      <c r="M221">
        <v>150744</v>
      </c>
      <c r="N221" t="s">
        <v>47</v>
      </c>
      <c r="O221" t="s">
        <v>52</v>
      </c>
      <c r="P221" t="s">
        <v>53</v>
      </c>
    </row>
    <row r="222" spans="1:16" x14ac:dyDescent="0.2">
      <c r="A222">
        <v>221</v>
      </c>
      <c r="B222" s="2">
        <v>41122</v>
      </c>
      <c r="C222" t="s">
        <v>28</v>
      </c>
      <c r="D222" t="s">
        <v>33</v>
      </c>
      <c r="E222" t="s">
        <v>14</v>
      </c>
      <c r="F222">
        <v>47</v>
      </c>
      <c r="G222">
        <v>6945</v>
      </c>
      <c r="H222">
        <v>13</v>
      </c>
      <c r="I222">
        <v>1</v>
      </c>
      <c r="J222" t="s">
        <v>15</v>
      </c>
      <c r="K222" t="s">
        <v>27</v>
      </c>
      <c r="L222" t="s">
        <v>34</v>
      </c>
      <c r="M222">
        <v>83340</v>
      </c>
      <c r="N222" t="s">
        <v>47</v>
      </c>
      <c r="O222" t="s">
        <v>52</v>
      </c>
      <c r="P222" t="s">
        <v>51</v>
      </c>
    </row>
    <row r="223" spans="1:16" x14ac:dyDescent="0.2">
      <c r="A223">
        <v>222</v>
      </c>
      <c r="B223" s="2">
        <v>41905</v>
      </c>
      <c r="C223" t="s">
        <v>12</v>
      </c>
      <c r="D223" t="s">
        <v>13</v>
      </c>
      <c r="E223" t="s">
        <v>14</v>
      </c>
      <c r="F223">
        <v>27</v>
      </c>
      <c r="G223">
        <v>9376</v>
      </c>
      <c r="H223">
        <v>1</v>
      </c>
      <c r="I223">
        <v>2</v>
      </c>
      <c r="J223" t="s">
        <v>20</v>
      </c>
      <c r="K223" t="s">
        <v>32</v>
      </c>
      <c r="L223" t="s">
        <v>34</v>
      </c>
      <c r="M223">
        <v>112512</v>
      </c>
      <c r="N223" t="s">
        <v>45</v>
      </c>
      <c r="O223" t="s">
        <v>54</v>
      </c>
      <c r="P223" t="s">
        <v>51</v>
      </c>
    </row>
    <row r="224" spans="1:16" x14ac:dyDescent="0.2">
      <c r="A224">
        <v>223</v>
      </c>
      <c r="B224" s="2">
        <v>40235</v>
      </c>
      <c r="C224" t="s">
        <v>18</v>
      </c>
      <c r="D224" t="s">
        <v>26</v>
      </c>
      <c r="E224" t="s">
        <v>24</v>
      </c>
      <c r="F224">
        <v>29</v>
      </c>
      <c r="G224">
        <v>17528</v>
      </c>
      <c r="H224">
        <v>10</v>
      </c>
      <c r="I224">
        <v>2</v>
      </c>
      <c r="J224" t="s">
        <v>20</v>
      </c>
      <c r="K224" t="s">
        <v>16</v>
      </c>
      <c r="L224" t="s">
        <v>25</v>
      </c>
      <c r="M224">
        <v>210336</v>
      </c>
      <c r="N224" t="s">
        <v>45</v>
      </c>
      <c r="O224" t="s">
        <v>52</v>
      </c>
      <c r="P224" t="s">
        <v>51</v>
      </c>
    </row>
    <row r="225" spans="1:16" x14ac:dyDescent="0.2">
      <c r="A225">
        <v>224</v>
      </c>
      <c r="B225" s="2">
        <v>44277</v>
      </c>
      <c r="C225" t="s">
        <v>28</v>
      </c>
      <c r="D225" t="s">
        <v>33</v>
      </c>
      <c r="E225" t="s">
        <v>24</v>
      </c>
      <c r="F225">
        <v>39</v>
      </c>
      <c r="G225">
        <v>16595</v>
      </c>
      <c r="H225">
        <v>8</v>
      </c>
      <c r="I225">
        <v>5</v>
      </c>
      <c r="J225" t="s">
        <v>15</v>
      </c>
      <c r="K225" t="s">
        <v>32</v>
      </c>
      <c r="L225" t="s">
        <v>39</v>
      </c>
      <c r="M225">
        <v>199140</v>
      </c>
      <c r="N225" t="s">
        <v>46</v>
      </c>
      <c r="O225" t="s">
        <v>52</v>
      </c>
      <c r="P225" t="s">
        <v>53</v>
      </c>
    </row>
    <row r="226" spans="1:16" x14ac:dyDescent="0.2">
      <c r="A226">
        <v>225</v>
      </c>
      <c r="B226" s="2">
        <v>41351</v>
      </c>
      <c r="C226" t="s">
        <v>18</v>
      </c>
      <c r="D226" t="s">
        <v>19</v>
      </c>
      <c r="E226" t="s">
        <v>24</v>
      </c>
      <c r="F226">
        <v>52</v>
      </c>
      <c r="G226">
        <v>9294</v>
      </c>
      <c r="H226">
        <v>3</v>
      </c>
      <c r="I226">
        <v>3</v>
      </c>
      <c r="J226" t="s">
        <v>20</v>
      </c>
      <c r="K226" t="s">
        <v>32</v>
      </c>
      <c r="L226" t="s">
        <v>21</v>
      </c>
      <c r="M226">
        <v>111528</v>
      </c>
      <c r="N226" t="s">
        <v>47</v>
      </c>
      <c r="O226" t="s">
        <v>50</v>
      </c>
      <c r="P226" t="s">
        <v>55</v>
      </c>
    </row>
    <row r="227" spans="1:16" x14ac:dyDescent="0.2">
      <c r="A227">
        <v>226</v>
      </c>
      <c r="B227" s="2">
        <v>42027</v>
      </c>
      <c r="C227" t="s">
        <v>22</v>
      </c>
      <c r="D227" t="s">
        <v>23</v>
      </c>
      <c r="E227" t="s">
        <v>14</v>
      </c>
      <c r="F227">
        <v>39</v>
      </c>
      <c r="G227">
        <v>18679</v>
      </c>
      <c r="H227">
        <v>6</v>
      </c>
      <c r="I227">
        <v>1</v>
      </c>
      <c r="J227" t="s">
        <v>15</v>
      </c>
      <c r="K227" t="s">
        <v>27</v>
      </c>
      <c r="L227" t="s">
        <v>21</v>
      </c>
      <c r="M227">
        <v>224148</v>
      </c>
      <c r="N227" t="s">
        <v>46</v>
      </c>
      <c r="O227" t="s">
        <v>50</v>
      </c>
      <c r="P227" t="s">
        <v>51</v>
      </c>
    </row>
    <row r="228" spans="1:16" x14ac:dyDescent="0.2">
      <c r="A228">
        <v>227</v>
      </c>
      <c r="B228" s="2">
        <v>43737</v>
      </c>
      <c r="C228" t="s">
        <v>18</v>
      </c>
      <c r="D228" t="s">
        <v>26</v>
      </c>
      <c r="E228" t="s">
        <v>24</v>
      </c>
      <c r="F228">
        <v>22</v>
      </c>
      <c r="G228">
        <v>12887</v>
      </c>
      <c r="H228">
        <v>12</v>
      </c>
      <c r="I228">
        <v>2</v>
      </c>
      <c r="J228" t="s">
        <v>20</v>
      </c>
      <c r="K228" t="s">
        <v>16</v>
      </c>
      <c r="L228" t="s">
        <v>21</v>
      </c>
      <c r="M228">
        <v>154644</v>
      </c>
      <c r="N228" t="s">
        <v>45</v>
      </c>
      <c r="O228" t="s">
        <v>52</v>
      </c>
      <c r="P228" t="s">
        <v>51</v>
      </c>
    </row>
    <row r="229" spans="1:16" x14ac:dyDescent="0.2">
      <c r="A229">
        <v>228</v>
      </c>
      <c r="B229" s="2">
        <v>40822</v>
      </c>
      <c r="C229" t="s">
        <v>30</v>
      </c>
      <c r="D229" t="s">
        <v>38</v>
      </c>
      <c r="E229" t="s">
        <v>14</v>
      </c>
      <c r="F229">
        <v>28</v>
      </c>
      <c r="G229">
        <v>8807</v>
      </c>
      <c r="H229">
        <v>1</v>
      </c>
      <c r="I229">
        <v>3</v>
      </c>
      <c r="J229" t="s">
        <v>20</v>
      </c>
      <c r="K229" t="s">
        <v>32</v>
      </c>
      <c r="L229" t="s">
        <v>17</v>
      </c>
      <c r="M229">
        <v>105684</v>
      </c>
      <c r="N229" t="s">
        <v>45</v>
      </c>
      <c r="O229" t="s">
        <v>54</v>
      </c>
      <c r="P229" t="s">
        <v>55</v>
      </c>
    </row>
    <row r="230" spans="1:16" x14ac:dyDescent="0.2">
      <c r="A230">
        <v>229</v>
      </c>
      <c r="B230" s="2">
        <v>42938</v>
      </c>
      <c r="C230" t="s">
        <v>28</v>
      </c>
      <c r="D230" t="s">
        <v>33</v>
      </c>
      <c r="E230" t="s">
        <v>14</v>
      </c>
      <c r="F230">
        <v>59</v>
      </c>
      <c r="G230">
        <v>17912</v>
      </c>
      <c r="H230">
        <v>12</v>
      </c>
      <c r="I230">
        <v>5</v>
      </c>
      <c r="J230" t="s">
        <v>15</v>
      </c>
      <c r="K230" t="s">
        <v>27</v>
      </c>
      <c r="L230" t="s">
        <v>25</v>
      </c>
      <c r="M230">
        <v>214944</v>
      </c>
      <c r="N230" t="s">
        <v>47</v>
      </c>
      <c r="O230" t="s">
        <v>52</v>
      </c>
      <c r="P230" t="s">
        <v>53</v>
      </c>
    </row>
    <row r="231" spans="1:16" x14ac:dyDescent="0.2">
      <c r="A231">
        <v>230</v>
      </c>
      <c r="B231" s="2">
        <v>44164</v>
      </c>
      <c r="C231" t="s">
        <v>30</v>
      </c>
      <c r="D231" t="s">
        <v>38</v>
      </c>
      <c r="E231" t="s">
        <v>14</v>
      </c>
      <c r="F231">
        <v>24</v>
      </c>
      <c r="G231">
        <v>4536</v>
      </c>
      <c r="H231">
        <v>3</v>
      </c>
      <c r="I231">
        <v>5</v>
      </c>
      <c r="J231" t="s">
        <v>20</v>
      </c>
      <c r="K231" t="s">
        <v>32</v>
      </c>
      <c r="L231" t="s">
        <v>21</v>
      </c>
      <c r="M231">
        <v>54432</v>
      </c>
      <c r="N231" t="s">
        <v>45</v>
      </c>
      <c r="O231" t="s">
        <v>50</v>
      </c>
      <c r="P231" t="s">
        <v>53</v>
      </c>
    </row>
    <row r="232" spans="1:16" x14ac:dyDescent="0.2">
      <c r="A232">
        <v>231</v>
      </c>
      <c r="B232" s="2">
        <v>41716</v>
      </c>
      <c r="C232" t="s">
        <v>30</v>
      </c>
      <c r="D232" t="s">
        <v>38</v>
      </c>
      <c r="E232" t="s">
        <v>14</v>
      </c>
      <c r="F232">
        <v>25</v>
      </c>
      <c r="G232">
        <v>4375</v>
      </c>
      <c r="H232">
        <v>6</v>
      </c>
      <c r="I232">
        <v>5</v>
      </c>
      <c r="J232" t="s">
        <v>15</v>
      </c>
      <c r="K232" t="s">
        <v>32</v>
      </c>
      <c r="L232" t="s">
        <v>21</v>
      </c>
      <c r="M232">
        <v>52500</v>
      </c>
      <c r="N232" t="s">
        <v>45</v>
      </c>
      <c r="O232" t="s">
        <v>50</v>
      </c>
      <c r="P232" t="s">
        <v>53</v>
      </c>
    </row>
    <row r="233" spans="1:16" x14ac:dyDescent="0.2">
      <c r="A233">
        <v>232</v>
      </c>
      <c r="B233" s="2">
        <v>42490</v>
      </c>
      <c r="C233" t="s">
        <v>22</v>
      </c>
      <c r="D233" t="s">
        <v>35</v>
      </c>
      <c r="E233" t="s">
        <v>14</v>
      </c>
      <c r="F233">
        <v>60</v>
      </c>
      <c r="G233">
        <v>15901</v>
      </c>
      <c r="H233">
        <v>11</v>
      </c>
      <c r="I233">
        <v>2</v>
      </c>
      <c r="J233" t="s">
        <v>20</v>
      </c>
      <c r="K233" t="s">
        <v>27</v>
      </c>
      <c r="L233" t="s">
        <v>25</v>
      </c>
      <c r="M233">
        <v>190812</v>
      </c>
      <c r="N233" t="s">
        <v>47</v>
      </c>
      <c r="O233" t="s">
        <v>52</v>
      </c>
      <c r="P233" t="s">
        <v>51</v>
      </c>
    </row>
    <row r="234" spans="1:16" x14ac:dyDescent="0.2">
      <c r="A234">
        <v>233</v>
      </c>
      <c r="B234" s="2">
        <v>42315</v>
      </c>
      <c r="C234" t="s">
        <v>28</v>
      </c>
      <c r="D234" t="s">
        <v>33</v>
      </c>
      <c r="E234" t="s">
        <v>24</v>
      </c>
      <c r="F234">
        <v>47</v>
      </c>
      <c r="G234">
        <v>17833</v>
      </c>
      <c r="H234">
        <v>10</v>
      </c>
      <c r="I234">
        <v>4</v>
      </c>
      <c r="J234" t="s">
        <v>20</v>
      </c>
      <c r="K234" t="s">
        <v>16</v>
      </c>
      <c r="L234" t="s">
        <v>21</v>
      </c>
      <c r="M234">
        <v>213996</v>
      </c>
      <c r="N234" t="s">
        <v>47</v>
      </c>
      <c r="O234" t="s">
        <v>52</v>
      </c>
      <c r="P234" t="s">
        <v>53</v>
      </c>
    </row>
    <row r="235" spans="1:16" x14ac:dyDescent="0.2">
      <c r="A235">
        <v>234</v>
      </c>
      <c r="B235" s="2">
        <v>40481</v>
      </c>
      <c r="C235" t="s">
        <v>28</v>
      </c>
      <c r="D235" t="s">
        <v>33</v>
      </c>
      <c r="E235" t="s">
        <v>14</v>
      </c>
      <c r="F235">
        <v>44</v>
      </c>
      <c r="G235">
        <v>19664</v>
      </c>
      <c r="H235">
        <v>14</v>
      </c>
      <c r="I235">
        <v>2</v>
      </c>
      <c r="J235" t="s">
        <v>15</v>
      </c>
      <c r="K235" t="s">
        <v>27</v>
      </c>
      <c r="L235" t="s">
        <v>25</v>
      </c>
      <c r="M235">
        <v>235968</v>
      </c>
      <c r="N235" t="s">
        <v>46</v>
      </c>
      <c r="O235" t="s">
        <v>52</v>
      </c>
      <c r="P235" t="s">
        <v>51</v>
      </c>
    </row>
    <row r="236" spans="1:16" x14ac:dyDescent="0.2">
      <c r="A236">
        <v>235</v>
      </c>
      <c r="B236" s="2">
        <v>44429</v>
      </c>
      <c r="C236" t="s">
        <v>12</v>
      </c>
      <c r="D236" t="s">
        <v>41</v>
      </c>
      <c r="E236" t="s">
        <v>24</v>
      </c>
      <c r="F236">
        <v>50</v>
      </c>
      <c r="G236">
        <v>14741</v>
      </c>
      <c r="H236">
        <v>8</v>
      </c>
      <c r="I236">
        <v>2</v>
      </c>
      <c r="J236" t="s">
        <v>15</v>
      </c>
      <c r="K236" t="s">
        <v>16</v>
      </c>
      <c r="L236" t="s">
        <v>17</v>
      </c>
      <c r="M236">
        <v>176892</v>
      </c>
      <c r="N236" t="s">
        <v>47</v>
      </c>
      <c r="O236" t="s">
        <v>52</v>
      </c>
      <c r="P236" t="s">
        <v>51</v>
      </c>
    </row>
    <row r="237" spans="1:16" x14ac:dyDescent="0.2">
      <c r="A237">
        <v>236</v>
      </c>
      <c r="B237" s="2">
        <v>45146</v>
      </c>
      <c r="C237" t="s">
        <v>30</v>
      </c>
      <c r="D237" t="s">
        <v>31</v>
      </c>
      <c r="E237" t="s">
        <v>24</v>
      </c>
      <c r="F237">
        <v>51</v>
      </c>
      <c r="G237">
        <v>19639</v>
      </c>
      <c r="H237">
        <v>12</v>
      </c>
      <c r="I237">
        <v>1</v>
      </c>
      <c r="J237" t="s">
        <v>15</v>
      </c>
      <c r="K237" t="s">
        <v>32</v>
      </c>
      <c r="L237" t="s">
        <v>21</v>
      </c>
      <c r="M237">
        <v>235668</v>
      </c>
      <c r="N237" t="s">
        <v>47</v>
      </c>
      <c r="O237" t="s">
        <v>52</v>
      </c>
      <c r="P237" t="s">
        <v>51</v>
      </c>
    </row>
    <row r="238" spans="1:16" x14ac:dyDescent="0.2">
      <c r="A238">
        <v>237</v>
      </c>
      <c r="B238" s="2">
        <v>40804</v>
      </c>
      <c r="C238" t="s">
        <v>12</v>
      </c>
      <c r="D238" t="s">
        <v>13</v>
      </c>
      <c r="E238" t="s">
        <v>24</v>
      </c>
      <c r="F238">
        <v>33</v>
      </c>
      <c r="G238">
        <v>15143</v>
      </c>
      <c r="H238">
        <v>4</v>
      </c>
      <c r="I238">
        <v>2</v>
      </c>
      <c r="J238" t="s">
        <v>20</v>
      </c>
      <c r="K238" t="s">
        <v>32</v>
      </c>
      <c r="L238" t="s">
        <v>21</v>
      </c>
      <c r="M238">
        <v>181716</v>
      </c>
      <c r="N238" t="s">
        <v>46</v>
      </c>
      <c r="O238" t="s">
        <v>50</v>
      </c>
      <c r="P238" t="s">
        <v>51</v>
      </c>
    </row>
    <row r="239" spans="1:16" x14ac:dyDescent="0.2">
      <c r="A239">
        <v>238</v>
      </c>
      <c r="B239" s="2">
        <v>41413</v>
      </c>
      <c r="C239" t="s">
        <v>28</v>
      </c>
      <c r="D239" t="s">
        <v>29</v>
      </c>
      <c r="E239" t="s">
        <v>14</v>
      </c>
      <c r="F239">
        <v>33</v>
      </c>
      <c r="G239">
        <v>8996</v>
      </c>
      <c r="H239">
        <v>14</v>
      </c>
      <c r="I239">
        <v>2</v>
      </c>
      <c r="J239" t="s">
        <v>20</v>
      </c>
      <c r="K239" t="s">
        <v>27</v>
      </c>
      <c r="L239" t="s">
        <v>17</v>
      </c>
      <c r="M239">
        <v>107952</v>
      </c>
      <c r="N239" t="s">
        <v>46</v>
      </c>
      <c r="O239" t="s">
        <v>52</v>
      </c>
      <c r="P239" t="s">
        <v>51</v>
      </c>
    </row>
    <row r="240" spans="1:16" x14ac:dyDescent="0.2">
      <c r="A240">
        <v>239</v>
      </c>
      <c r="B240" s="2">
        <v>41753</v>
      </c>
      <c r="C240" t="s">
        <v>18</v>
      </c>
      <c r="D240" t="s">
        <v>26</v>
      </c>
      <c r="E240" t="s">
        <v>24</v>
      </c>
      <c r="F240">
        <v>30</v>
      </c>
      <c r="G240">
        <v>7930</v>
      </c>
      <c r="H240">
        <v>9</v>
      </c>
      <c r="I240">
        <v>1</v>
      </c>
      <c r="J240" t="s">
        <v>15</v>
      </c>
      <c r="K240" t="s">
        <v>27</v>
      </c>
      <c r="L240" t="s">
        <v>34</v>
      </c>
      <c r="M240">
        <v>95160</v>
      </c>
      <c r="N240" t="s">
        <v>46</v>
      </c>
      <c r="O240" t="s">
        <v>52</v>
      </c>
      <c r="P240" t="s">
        <v>51</v>
      </c>
    </row>
    <row r="241" spans="1:16" x14ac:dyDescent="0.2">
      <c r="A241">
        <v>240</v>
      </c>
      <c r="B241" s="2">
        <v>44097</v>
      </c>
      <c r="C241" t="s">
        <v>18</v>
      </c>
      <c r="D241" t="s">
        <v>19</v>
      </c>
      <c r="E241" t="s">
        <v>24</v>
      </c>
      <c r="F241">
        <v>29</v>
      </c>
      <c r="G241">
        <v>4079</v>
      </c>
      <c r="H241">
        <v>1</v>
      </c>
      <c r="I241">
        <v>1</v>
      </c>
      <c r="J241" t="s">
        <v>20</v>
      </c>
      <c r="K241" t="s">
        <v>27</v>
      </c>
      <c r="L241" t="s">
        <v>17</v>
      </c>
      <c r="M241">
        <v>48948</v>
      </c>
      <c r="N241" t="s">
        <v>45</v>
      </c>
      <c r="O241" t="s">
        <v>54</v>
      </c>
      <c r="P241" t="s">
        <v>51</v>
      </c>
    </row>
    <row r="242" spans="1:16" x14ac:dyDescent="0.2">
      <c r="A242">
        <v>241</v>
      </c>
      <c r="B242" s="2">
        <v>44907</v>
      </c>
      <c r="C242" t="s">
        <v>12</v>
      </c>
      <c r="D242" t="s">
        <v>13</v>
      </c>
      <c r="E242" t="s">
        <v>14</v>
      </c>
      <c r="F242">
        <v>22</v>
      </c>
      <c r="G242">
        <v>8938</v>
      </c>
      <c r="H242">
        <v>6</v>
      </c>
      <c r="I242">
        <v>1</v>
      </c>
      <c r="J242" t="s">
        <v>20</v>
      </c>
      <c r="K242" t="s">
        <v>32</v>
      </c>
      <c r="L242" t="s">
        <v>25</v>
      </c>
      <c r="M242">
        <v>107256</v>
      </c>
      <c r="N242" t="s">
        <v>45</v>
      </c>
      <c r="O242" t="s">
        <v>50</v>
      </c>
      <c r="P242" t="s">
        <v>51</v>
      </c>
    </row>
    <row r="243" spans="1:16" x14ac:dyDescent="0.2">
      <c r="A243">
        <v>242</v>
      </c>
      <c r="B243" s="2">
        <v>42291</v>
      </c>
      <c r="C243" t="s">
        <v>36</v>
      </c>
      <c r="D243" t="s">
        <v>42</v>
      </c>
      <c r="E243" t="s">
        <v>14</v>
      </c>
      <c r="F243">
        <v>39</v>
      </c>
      <c r="G243">
        <v>4150</v>
      </c>
      <c r="H243">
        <v>13</v>
      </c>
      <c r="I243">
        <v>3</v>
      </c>
      <c r="J243" t="s">
        <v>20</v>
      </c>
      <c r="K243" t="s">
        <v>16</v>
      </c>
      <c r="L243" t="s">
        <v>34</v>
      </c>
      <c r="M243">
        <v>49800</v>
      </c>
      <c r="N243" t="s">
        <v>46</v>
      </c>
      <c r="O243" t="s">
        <v>52</v>
      </c>
      <c r="P243" t="s">
        <v>55</v>
      </c>
    </row>
    <row r="244" spans="1:16" x14ac:dyDescent="0.2">
      <c r="A244">
        <v>243</v>
      </c>
      <c r="B244" s="2">
        <v>41547</v>
      </c>
      <c r="C244" t="s">
        <v>36</v>
      </c>
      <c r="D244" t="s">
        <v>40</v>
      </c>
      <c r="E244" t="s">
        <v>24</v>
      </c>
      <c r="F244">
        <v>44</v>
      </c>
      <c r="G244">
        <v>19019</v>
      </c>
      <c r="H244">
        <v>11</v>
      </c>
      <c r="I244">
        <v>3</v>
      </c>
      <c r="J244" t="s">
        <v>20</v>
      </c>
      <c r="K244" t="s">
        <v>16</v>
      </c>
      <c r="L244" t="s">
        <v>25</v>
      </c>
      <c r="M244">
        <v>228228</v>
      </c>
      <c r="N244" t="s">
        <v>46</v>
      </c>
      <c r="O244" t="s">
        <v>52</v>
      </c>
      <c r="P244" t="s">
        <v>55</v>
      </c>
    </row>
    <row r="245" spans="1:16" x14ac:dyDescent="0.2">
      <c r="A245">
        <v>244</v>
      </c>
      <c r="B245" s="2">
        <v>42869</v>
      </c>
      <c r="C245" t="s">
        <v>28</v>
      </c>
      <c r="D245" t="s">
        <v>33</v>
      </c>
      <c r="E245" t="s">
        <v>14</v>
      </c>
      <c r="F245">
        <v>44</v>
      </c>
      <c r="G245">
        <v>6943</v>
      </c>
      <c r="H245">
        <v>15</v>
      </c>
      <c r="I245">
        <v>3</v>
      </c>
      <c r="J245" t="s">
        <v>20</v>
      </c>
      <c r="K245" t="s">
        <v>16</v>
      </c>
      <c r="L245" t="s">
        <v>39</v>
      </c>
      <c r="M245">
        <v>83316</v>
      </c>
      <c r="N245" t="s">
        <v>46</v>
      </c>
      <c r="O245" t="s">
        <v>52</v>
      </c>
      <c r="P245" t="s">
        <v>55</v>
      </c>
    </row>
    <row r="246" spans="1:16" x14ac:dyDescent="0.2">
      <c r="A246">
        <v>245</v>
      </c>
      <c r="B246" s="2">
        <v>44828</v>
      </c>
      <c r="C246" t="s">
        <v>12</v>
      </c>
      <c r="D246" t="s">
        <v>41</v>
      </c>
      <c r="E246" t="s">
        <v>14</v>
      </c>
      <c r="F246">
        <v>29</v>
      </c>
      <c r="G246">
        <v>16879</v>
      </c>
      <c r="H246">
        <v>0</v>
      </c>
      <c r="I246">
        <v>3</v>
      </c>
      <c r="J246" t="s">
        <v>20</v>
      </c>
      <c r="K246" t="s">
        <v>16</v>
      </c>
      <c r="L246" t="s">
        <v>17</v>
      </c>
      <c r="M246">
        <v>202548</v>
      </c>
      <c r="N246" t="s">
        <v>45</v>
      </c>
      <c r="O246" t="s">
        <v>54</v>
      </c>
      <c r="P246" t="s">
        <v>55</v>
      </c>
    </row>
    <row r="247" spans="1:16" x14ac:dyDescent="0.2">
      <c r="A247">
        <v>246</v>
      </c>
      <c r="B247" s="2">
        <v>43280</v>
      </c>
      <c r="C247" t="s">
        <v>28</v>
      </c>
      <c r="D247" t="s">
        <v>33</v>
      </c>
      <c r="E247" t="s">
        <v>24</v>
      </c>
      <c r="F247">
        <v>53</v>
      </c>
      <c r="G247">
        <v>18039</v>
      </c>
      <c r="H247">
        <v>9</v>
      </c>
      <c r="I247">
        <v>5</v>
      </c>
      <c r="J247" t="s">
        <v>15</v>
      </c>
      <c r="K247" t="s">
        <v>32</v>
      </c>
      <c r="L247" t="s">
        <v>25</v>
      </c>
      <c r="M247">
        <v>216468</v>
      </c>
      <c r="N247" t="s">
        <v>47</v>
      </c>
      <c r="O247" t="s">
        <v>52</v>
      </c>
      <c r="P247" t="s">
        <v>53</v>
      </c>
    </row>
    <row r="248" spans="1:16" x14ac:dyDescent="0.2">
      <c r="A248">
        <v>247</v>
      </c>
      <c r="B248" s="2">
        <v>44478</v>
      </c>
      <c r="C248" t="s">
        <v>36</v>
      </c>
      <c r="D248" t="s">
        <v>42</v>
      </c>
      <c r="E248" t="s">
        <v>14</v>
      </c>
      <c r="F248">
        <v>46</v>
      </c>
      <c r="G248">
        <v>14599</v>
      </c>
      <c r="H248">
        <v>7</v>
      </c>
      <c r="I248">
        <v>1</v>
      </c>
      <c r="J248" t="s">
        <v>15</v>
      </c>
      <c r="K248" t="s">
        <v>16</v>
      </c>
      <c r="L248" t="s">
        <v>34</v>
      </c>
      <c r="M248">
        <v>175188</v>
      </c>
      <c r="N248" t="s">
        <v>47</v>
      </c>
      <c r="O248" t="s">
        <v>50</v>
      </c>
      <c r="P248" t="s">
        <v>51</v>
      </c>
    </row>
    <row r="249" spans="1:16" x14ac:dyDescent="0.2">
      <c r="A249">
        <v>248</v>
      </c>
      <c r="B249" s="2">
        <v>42418</v>
      </c>
      <c r="C249" t="s">
        <v>36</v>
      </c>
      <c r="D249" t="s">
        <v>37</v>
      </c>
      <c r="E249" t="s">
        <v>14</v>
      </c>
      <c r="F249">
        <v>38</v>
      </c>
      <c r="G249">
        <v>6074</v>
      </c>
      <c r="H249">
        <v>10</v>
      </c>
      <c r="I249">
        <v>3</v>
      </c>
      <c r="J249" t="s">
        <v>20</v>
      </c>
      <c r="K249" t="s">
        <v>32</v>
      </c>
      <c r="L249" t="s">
        <v>39</v>
      </c>
      <c r="M249">
        <v>72888</v>
      </c>
      <c r="N249" t="s">
        <v>46</v>
      </c>
      <c r="O249" t="s">
        <v>52</v>
      </c>
      <c r="P249" t="s">
        <v>55</v>
      </c>
    </row>
    <row r="250" spans="1:16" x14ac:dyDescent="0.2">
      <c r="A250">
        <v>249</v>
      </c>
      <c r="B250" s="2">
        <v>42151</v>
      </c>
      <c r="C250" t="s">
        <v>30</v>
      </c>
      <c r="D250" t="s">
        <v>31</v>
      </c>
      <c r="E250" t="s">
        <v>24</v>
      </c>
      <c r="F250">
        <v>43</v>
      </c>
      <c r="G250">
        <v>9356</v>
      </c>
      <c r="H250">
        <v>3</v>
      </c>
      <c r="I250">
        <v>4</v>
      </c>
      <c r="J250" t="s">
        <v>15</v>
      </c>
      <c r="K250" t="s">
        <v>27</v>
      </c>
      <c r="L250" t="s">
        <v>17</v>
      </c>
      <c r="M250">
        <v>112272</v>
      </c>
      <c r="N250" t="s">
        <v>46</v>
      </c>
      <c r="O250" t="s">
        <v>50</v>
      </c>
      <c r="P250" t="s">
        <v>53</v>
      </c>
    </row>
    <row r="251" spans="1:16" x14ac:dyDescent="0.2">
      <c r="A251">
        <v>250</v>
      </c>
      <c r="B251" s="2">
        <v>40721</v>
      </c>
      <c r="C251" t="s">
        <v>36</v>
      </c>
      <c r="D251" t="s">
        <v>40</v>
      </c>
      <c r="E251" t="s">
        <v>14</v>
      </c>
      <c r="F251">
        <v>60</v>
      </c>
      <c r="G251">
        <v>8927</v>
      </c>
      <c r="H251">
        <v>5</v>
      </c>
      <c r="I251">
        <v>2</v>
      </c>
      <c r="J251" t="s">
        <v>15</v>
      </c>
      <c r="K251" t="s">
        <v>16</v>
      </c>
      <c r="L251" t="s">
        <v>39</v>
      </c>
      <c r="M251">
        <v>107124</v>
      </c>
      <c r="N251" t="s">
        <v>47</v>
      </c>
      <c r="O251" t="s">
        <v>50</v>
      </c>
      <c r="P251" t="s">
        <v>51</v>
      </c>
    </row>
    <row r="252" spans="1:16" x14ac:dyDescent="0.2">
      <c r="A252">
        <v>251</v>
      </c>
      <c r="B252" s="2">
        <v>43401</v>
      </c>
      <c r="C252" t="s">
        <v>12</v>
      </c>
      <c r="D252" t="s">
        <v>13</v>
      </c>
      <c r="E252" t="s">
        <v>24</v>
      </c>
      <c r="F252">
        <v>51</v>
      </c>
      <c r="G252">
        <v>7013</v>
      </c>
      <c r="H252">
        <v>7</v>
      </c>
      <c r="I252">
        <v>5</v>
      </c>
      <c r="J252" t="s">
        <v>15</v>
      </c>
      <c r="K252" t="s">
        <v>32</v>
      </c>
      <c r="L252" t="s">
        <v>21</v>
      </c>
      <c r="M252">
        <v>84156</v>
      </c>
      <c r="N252" t="s">
        <v>47</v>
      </c>
      <c r="O252" t="s">
        <v>50</v>
      </c>
      <c r="P252" t="s">
        <v>53</v>
      </c>
    </row>
    <row r="253" spans="1:16" x14ac:dyDescent="0.2">
      <c r="A253">
        <v>252</v>
      </c>
      <c r="B253" s="2">
        <v>44881</v>
      </c>
      <c r="C253" t="s">
        <v>36</v>
      </c>
      <c r="D253" t="s">
        <v>37</v>
      </c>
      <c r="E253" t="s">
        <v>24</v>
      </c>
      <c r="F253">
        <v>58</v>
      </c>
      <c r="G253">
        <v>17241</v>
      </c>
      <c r="H253">
        <v>11</v>
      </c>
      <c r="I253">
        <v>4</v>
      </c>
      <c r="J253" t="s">
        <v>15</v>
      </c>
      <c r="K253" t="s">
        <v>32</v>
      </c>
      <c r="L253" t="s">
        <v>39</v>
      </c>
      <c r="M253">
        <v>206892</v>
      </c>
      <c r="N253" t="s">
        <v>47</v>
      </c>
      <c r="O253" t="s">
        <v>52</v>
      </c>
      <c r="P253" t="s">
        <v>53</v>
      </c>
    </row>
    <row r="254" spans="1:16" x14ac:dyDescent="0.2">
      <c r="A254">
        <v>253</v>
      </c>
      <c r="B254" s="2">
        <v>40426</v>
      </c>
      <c r="C254" t="s">
        <v>28</v>
      </c>
      <c r="D254" t="s">
        <v>29</v>
      </c>
      <c r="E254" t="s">
        <v>14</v>
      </c>
      <c r="F254">
        <v>52</v>
      </c>
      <c r="G254">
        <v>4280</v>
      </c>
      <c r="H254">
        <v>5</v>
      </c>
      <c r="I254">
        <v>3</v>
      </c>
      <c r="J254" t="s">
        <v>20</v>
      </c>
      <c r="K254" t="s">
        <v>32</v>
      </c>
      <c r="L254" t="s">
        <v>25</v>
      </c>
      <c r="M254">
        <v>51360</v>
      </c>
      <c r="N254" t="s">
        <v>47</v>
      </c>
      <c r="O254" t="s">
        <v>50</v>
      </c>
      <c r="P254" t="s">
        <v>55</v>
      </c>
    </row>
    <row r="255" spans="1:16" x14ac:dyDescent="0.2">
      <c r="A255">
        <v>254</v>
      </c>
      <c r="B255" s="2">
        <v>43447</v>
      </c>
      <c r="C255" t="s">
        <v>30</v>
      </c>
      <c r="D255" t="s">
        <v>38</v>
      </c>
      <c r="E255" t="s">
        <v>14</v>
      </c>
      <c r="F255">
        <v>41</v>
      </c>
      <c r="G255">
        <v>18424</v>
      </c>
      <c r="H255">
        <v>0</v>
      </c>
      <c r="I255">
        <v>2</v>
      </c>
      <c r="J255" t="s">
        <v>20</v>
      </c>
      <c r="K255" t="s">
        <v>16</v>
      </c>
      <c r="L255" t="s">
        <v>34</v>
      </c>
      <c r="M255">
        <v>221088</v>
      </c>
      <c r="N255" t="s">
        <v>46</v>
      </c>
      <c r="O255" t="s">
        <v>54</v>
      </c>
      <c r="P255" t="s">
        <v>51</v>
      </c>
    </row>
    <row r="256" spans="1:16" x14ac:dyDescent="0.2">
      <c r="A256">
        <v>255</v>
      </c>
      <c r="B256" s="2">
        <v>43374</v>
      </c>
      <c r="C256" t="s">
        <v>12</v>
      </c>
      <c r="D256" t="s">
        <v>13</v>
      </c>
      <c r="E256" t="s">
        <v>24</v>
      </c>
      <c r="F256">
        <v>51</v>
      </c>
      <c r="G256">
        <v>5339</v>
      </c>
      <c r="H256">
        <v>7</v>
      </c>
      <c r="I256">
        <v>2</v>
      </c>
      <c r="J256" t="s">
        <v>20</v>
      </c>
      <c r="K256" t="s">
        <v>16</v>
      </c>
      <c r="L256" t="s">
        <v>21</v>
      </c>
      <c r="M256">
        <v>64068</v>
      </c>
      <c r="N256" t="s">
        <v>47</v>
      </c>
      <c r="O256" t="s">
        <v>50</v>
      </c>
      <c r="P256" t="s">
        <v>51</v>
      </c>
    </row>
    <row r="257" spans="1:16" x14ac:dyDescent="0.2">
      <c r="A257">
        <v>256</v>
      </c>
      <c r="B257" s="2">
        <v>42285</v>
      </c>
      <c r="C257" t="s">
        <v>12</v>
      </c>
      <c r="D257" t="s">
        <v>41</v>
      </c>
      <c r="E257" t="s">
        <v>24</v>
      </c>
      <c r="F257">
        <v>43</v>
      </c>
      <c r="G257">
        <v>11145</v>
      </c>
      <c r="H257">
        <v>3</v>
      </c>
      <c r="I257">
        <v>2</v>
      </c>
      <c r="J257" t="s">
        <v>15</v>
      </c>
      <c r="K257" t="s">
        <v>32</v>
      </c>
      <c r="L257" t="s">
        <v>17</v>
      </c>
      <c r="M257">
        <v>133740</v>
      </c>
      <c r="N257" t="s">
        <v>46</v>
      </c>
      <c r="O257" t="s">
        <v>50</v>
      </c>
      <c r="P257" t="s">
        <v>51</v>
      </c>
    </row>
    <row r="258" spans="1:16" x14ac:dyDescent="0.2">
      <c r="A258">
        <v>257</v>
      </c>
      <c r="B258" s="2">
        <v>43870</v>
      </c>
      <c r="C258" t="s">
        <v>12</v>
      </c>
      <c r="D258" t="s">
        <v>13</v>
      </c>
      <c r="E258" t="s">
        <v>24</v>
      </c>
      <c r="F258">
        <v>31</v>
      </c>
      <c r="G258">
        <v>11061</v>
      </c>
      <c r="H258">
        <v>8</v>
      </c>
      <c r="I258">
        <v>3</v>
      </c>
      <c r="J258" t="s">
        <v>15</v>
      </c>
      <c r="K258" t="s">
        <v>27</v>
      </c>
      <c r="L258" t="s">
        <v>21</v>
      </c>
      <c r="M258">
        <v>132732</v>
      </c>
      <c r="N258" t="s">
        <v>46</v>
      </c>
      <c r="O258" t="s">
        <v>52</v>
      </c>
      <c r="P258" t="s">
        <v>55</v>
      </c>
    </row>
    <row r="259" spans="1:16" x14ac:dyDescent="0.2">
      <c r="A259">
        <v>258</v>
      </c>
      <c r="B259" s="2">
        <v>41471</v>
      </c>
      <c r="C259" t="s">
        <v>22</v>
      </c>
      <c r="D259" t="s">
        <v>23</v>
      </c>
      <c r="E259" t="s">
        <v>14</v>
      </c>
      <c r="F259">
        <v>40</v>
      </c>
      <c r="G259">
        <v>6978</v>
      </c>
      <c r="H259">
        <v>6</v>
      </c>
      <c r="I259">
        <v>1</v>
      </c>
      <c r="J259" t="s">
        <v>20</v>
      </c>
      <c r="K259" t="s">
        <v>27</v>
      </c>
      <c r="L259" t="s">
        <v>34</v>
      </c>
      <c r="M259">
        <v>83736</v>
      </c>
      <c r="N259" t="s">
        <v>46</v>
      </c>
      <c r="O259" t="s">
        <v>50</v>
      </c>
      <c r="P259" t="s">
        <v>51</v>
      </c>
    </row>
    <row r="260" spans="1:16" x14ac:dyDescent="0.2">
      <c r="A260">
        <v>259</v>
      </c>
      <c r="B260" s="2">
        <v>44049</v>
      </c>
      <c r="C260" t="s">
        <v>28</v>
      </c>
      <c r="D260" t="s">
        <v>33</v>
      </c>
      <c r="E260" t="s">
        <v>24</v>
      </c>
      <c r="F260">
        <v>43</v>
      </c>
      <c r="G260">
        <v>12508</v>
      </c>
      <c r="H260">
        <v>2</v>
      </c>
      <c r="I260">
        <v>4</v>
      </c>
      <c r="J260" t="s">
        <v>20</v>
      </c>
      <c r="K260" t="s">
        <v>32</v>
      </c>
      <c r="L260" t="s">
        <v>34</v>
      </c>
      <c r="M260">
        <v>150096</v>
      </c>
      <c r="N260" t="s">
        <v>46</v>
      </c>
      <c r="O260" t="s">
        <v>54</v>
      </c>
      <c r="P260" t="s">
        <v>53</v>
      </c>
    </row>
    <row r="261" spans="1:16" x14ac:dyDescent="0.2">
      <c r="A261">
        <v>260</v>
      </c>
      <c r="B261" s="2">
        <v>43726</v>
      </c>
      <c r="C261" t="s">
        <v>28</v>
      </c>
      <c r="D261" t="s">
        <v>33</v>
      </c>
      <c r="E261" t="s">
        <v>14</v>
      </c>
      <c r="F261">
        <v>55</v>
      </c>
      <c r="G261">
        <v>8049</v>
      </c>
      <c r="H261">
        <v>2</v>
      </c>
      <c r="I261">
        <v>4</v>
      </c>
      <c r="J261" t="s">
        <v>15</v>
      </c>
      <c r="K261" t="s">
        <v>27</v>
      </c>
      <c r="L261" t="s">
        <v>17</v>
      </c>
      <c r="M261">
        <v>96588</v>
      </c>
      <c r="N261" t="s">
        <v>47</v>
      </c>
      <c r="O261" t="s">
        <v>54</v>
      </c>
      <c r="P261" t="s">
        <v>53</v>
      </c>
    </row>
    <row r="262" spans="1:16" x14ac:dyDescent="0.2">
      <c r="A262">
        <v>261</v>
      </c>
      <c r="B262" s="2">
        <v>42712</v>
      </c>
      <c r="C262" t="s">
        <v>36</v>
      </c>
      <c r="D262" t="s">
        <v>42</v>
      </c>
      <c r="E262" t="s">
        <v>24</v>
      </c>
      <c r="F262">
        <v>35</v>
      </c>
      <c r="G262">
        <v>8266</v>
      </c>
      <c r="H262">
        <v>13</v>
      </c>
      <c r="I262">
        <v>2</v>
      </c>
      <c r="J262" t="s">
        <v>20</v>
      </c>
      <c r="K262" t="s">
        <v>32</v>
      </c>
      <c r="L262" t="s">
        <v>34</v>
      </c>
      <c r="M262">
        <v>99192</v>
      </c>
      <c r="N262" t="s">
        <v>46</v>
      </c>
      <c r="O262" t="s">
        <v>52</v>
      </c>
      <c r="P262" t="s">
        <v>51</v>
      </c>
    </row>
    <row r="263" spans="1:16" x14ac:dyDescent="0.2">
      <c r="A263">
        <v>262</v>
      </c>
      <c r="B263" s="2">
        <v>44315</v>
      </c>
      <c r="C263" t="s">
        <v>12</v>
      </c>
      <c r="D263" t="s">
        <v>41</v>
      </c>
      <c r="E263" t="s">
        <v>24</v>
      </c>
      <c r="F263">
        <v>32</v>
      </c>
      <c r="G263">
        <v>11633</v>
      </c>
      <c r="H263">
        <v>7</v>
      </c>
      <c r="I263">
        <v>1</v>
      </c>
      <c r="J263" t="s">
        <v>15</v>
      </c>
      <c r="K263" t="s">
        <v>32</v>
      </c>
      <c r="L263" t="s">
        <v>17</v>
      </c>
      <c r="M263">
        <v>139596</v>
      </c>
      <c r="N263" t="s">
        <v>46</v>
      </c>
      <c r="O263" t="s">
        <v>50</v>
      </c>
      <c r="P263" t="s">
        <v>51</v>
      </c>
    </row>
    <row r="264" spans="1:16" x14ac:dyDescent="0.2">
      <c r="A264">
        <v>263</v>
      </c>
      <c r="B264" s="2">
        <v>44321</v>
      </c>
      <c r="C264" t="s">
        <v>22</v>
      </c>
      <c r="D264" t="s">
        <v>23</v>
      </c>
      <c r="E264" t="s">
        <v>14</v>
      </c>
      <c r="F264">
        <v>60</v>
      </c>
      <c r="G264">
        <v>9623</v>
      </c>
      <c r="H264">
        <v>0</v>
      </c>
      <c r="I264">
        <v>4</v>
      </c>
      <c r="J264" t="s">
        <v>15</v>
      </c>
      <c r="K264" t="s">
        <v>27</v>
      </c>
      <c r="L264" t="s">
        <v>39</v>
      </c>
      <c r="M264">
        <v>115476</v>
      </c>
      <c r="N264" t="s">
        <v>47</v>
      </c>
      <c r="O264" t="s">
        <v>54</v>
      </c>
      <c r="P264" t="s">
        <v>53</v>
      </c>
    </row>
    <row r="265" spans="1:16" x14ac:dyDescent="0.2">
      <c r="A265">
        <v>264</v>
      </c>
      <c r="B265" s="2">
        <v>43705</v>
      </c>
      <c r="C265" t="s">
        <v>12</v>
      </c>
      <c r="D265" t="s">
        <v>13</v>
      </c>
      <c r="E265" t="s">
        <v>24</v>
      </c>
      <c r="F265">
        <v>33</v>
      </c>
      <c r="G265">
        <v>12343</v>
      </c>
      <c r="H265">
        <v>10</v>
      </c>
      <c r="I265">
        <v>1</v>
      </c>
      <c r="J265" t="s">
        <v>20</v>
      </c>
      <c r="K265" t="s">
        <v>32</v>
      </c>
      <c r="L265" t="s">
        <v>34</v>
      </c>
      <c r="M265">
        <v>148116</v>
      </c>
      <c r="N265" t="s">
        <v>46</v>
      </c>
      <c r="O265" t="s">
        <v>52</v>
      </c>
      <c r="P265" t="s">
        <v>51</v>
      </c>
    </row>
    <row r="266" spans="1:16" x14ac:dyDescent="0.2">
      <c r="A266">
        <v>265</v>
      </c>
      <c r="B266" s="2">
        <v>42131</v>
      </c>
      <c r="C266" t="s">
        <v>12</v>
      </c>
      <c r="D266" t="s">
        <v>41</v>
      </c>
      <c r="E266" t="s">
        <v>14</v>
      </c>
      <c r="F266">
        <v>22</v>
      </c>
      <c r="G266">
        <v>8190</v>
      </c>
      <c r="H266">
        <v>14</v>
      </c>
      <c r="I266">
        <v>2</v>
      </c>
      <c r="J266" t="s">
        <v>15</v>
      </c>
      <c r="K266" t="s">
        <v>32</v>
      </c>
      <c r="L266" t="s">
        <v>34</v>
      </c>
      <c r="M266">
        <v>98280</v>
      </c>
      <c r="N266" t="s">
        <v>45</v>
      </c>
      <c r="O266" t="s">
        <v>52</v>
      </c>
      <c r="P266" t="s">
        <v>51</v>
      </c>
    </row>
    <row r="267" spans="1:16" x14ac:dyDescent="0.2">
      <c r="A267">
        <v>266</v>
      </c>
      <c r="B267" s="2">
        <v>44612</v>
      </c>
      <c r="C267" t="s">
        <v>28</v>
      </c>
      <c r="D267" t="s">
        <v>33</v>
      </c>
      <c r="E267" t="s">
        <v>14</v>
      </c>
      <c r="F267">
        <v>26</v>
      </c>
      <c r="G267">
        <v>12008</v>
      </c>
      <c r="H267">
        <v>0</v>
      </c>
      <c r="I267">
        <v>1</v>
      </c>
      <c r="J267" t="s">
        <v>20</v>
      </c>
      <c r="K267" t="s">
        <v>27</v>
      </c>
      <c r="L267" t="s">
        <v>25</v>
      </c>
      <c r="M267">
        <v>144096</v>
      </c>
      <c r="N267" t="s">
        <v>45</v>
      </c>
      <c r="O267" t="s">
        <v>54</v>
      </c>
      <c r="P267" t="s">
        <v>51</v>
      </c>
    </row>
    <row r="268" spans="1:16" x14ac:dyDescent="0.2">
      <c r="A268">
        <v>267</v>
      </c>
      <c r="B268" s="2">
        <v>40508</v>
      </c>
      <c r="C268" t="s">
        <v>30</v>
      </c>
      <c r="D268" t="s">
        <v>38</v>
      </c>
      <c r="E268" t="s">
        <v>24</v>
      </c>
      <c r="F268">
        <v>56</v>
      </c>
      <c r="G268">
        <v>8323</v>
      </c>
      <c r="H268">
        <v>9</v>
      </c>
      <c r="I268">
        <v>2</v>
      </c>
      <c r="J268" t="s">
        <v>15</v>
      </c>
      <c r="K268" t="s">
        <v>27</v>
      </c>
      <c r="L268" t="s">
        <v>25</v>
      </c>
      <c r="M268">
        <v>99876</v>
      </c>
      <c r="N268" t="s">
        <v>47</v>
      </c>
      <c r="O268" t="s">
        <v>52</v>
      </c>
      <c r="P268" t="s">
        <v>51</v>
      </c>
    </row>
    <row r="269" spans="1:16" x14ac:dyDescent="0.2">
      <c r="A269">
        <v>268</v>
      </c>
      <c r="B269" s="2">
        <v>44566</v>
      </c>
      <c r="C269" t="s">
        <v>18</v>
      </c>
      <c r="D269" t="s">
        <v>19</v>
      </c>
      <c r="E269" t="s">
        <v>14</v>
      </c>
      <c r="F269">
        <v>50</v>
      </c>
      <c r="G269">
        <v>14506</v>
      </c>
      <c r="H269">
        <v>15</v>
      </c>
      <c r="I269">
        <v>1</v>
      </c>
      <c r="J269" t="s">
        <v>20</v>
      </c>
      <c r="K269" t="s">
        <v>16</v>
      </c>
      <c r="L269" t="s">
        <v>25</v>
      </c>
      <c r="M269">
        <v>174072</v>
      </c>
      <c r="N269" t="s">
        <v>47</v>
      </c>
      <c r="O269" t="s">
        <v>52</v>
      </c>
      <c r="P269" t="s">
        <v>51</v>
      </c>
    </row>
    <row r="270" spans="1:16" x14ac:dyDescent="0.2">
      <c r="A270">
        <v>269</v>
      </c>
      <c r="B270" s="2">
        <v>40941</v>
      </c>
      <c r="C270" t="s">
        <v>18</v>
      </c>
      <c r="D270" t="s">
        <v>26</v>
      </c>
      <c r="E270" t="s">
        <v>14</v>
      </c>
      <c r="F270">
        <v>46</v>
      </c>
      <c r="G270">
        <v>7397</v>
      </c>
      <c r="H270">
        <v>13</v>
      </c>
      <c r="I270">
        <v>4</v>
      </c>
      <c r="J270" t="s">
        <v>20</v>
      </c>
      <c r="K270" t="s">
        <v>32</v>
      </c>
      <c r="L270" t="s">
        <v>21</v>
      </c>
      <c r="M270">
        <v>88764</v>
      </c>
      <c r="N270" t="s">
        <v>47</v>
      </c>
      <c r="O270" t="s">
        <v>52</v>
      </c>
      <c r="P270" t="s">
        <v>53</v>
      </c>
    </row>
    <row r="271" spans="1:16" x14ac:dyDescent="0.2">
      <c r="A271">
        <v>270</v>
      </c>
      <c r="B271" s="2">
        <v>42068</v>
      </c>
      <c r="C271" t="s">
        <v>28</v>
      </c>
      <c r="D271" t="s">
        <v>29</v>
      </c>
      <c r="E271" t="s">
        <v>14</v>
      </c>
      <c r="F271">
        <v>29</v>
      </c>
      <c r="G271">
        <v>16381</v>
      </c>
      <c r="H271">
        <v>7</v>
      </c>
      <c r="I271">
        <v>3</v>
      </c>
      <c r="J271" t="s">
        <v>15</v>
      </c>
      <c r="K271" t="s">
        <v>32</v>
      </c>
      <c r="L271" t="s">
        <v>34</v>
      </c>
      <c r="M271">
        <v>196572</v>
      </c>
      <c r="N271" t="s">
        <v>45</v>
      </c>
      <c r="O271" t="s">
        <v>50</v>
      </c>
      <c r="P271" t="s">
        <v>55</v>
      </c>
    </row>
    <row r="272" spans="1:16" x14ac:dyDescent="0.2">
      <c r="A272">
        <v>271</v>
      </c>
      <c r="B272" s="2">
        <v>41584</v>
      </c>
      <c r="C272" t="s">
        <v>12</v>
      </c>
      <c r="D272" t="s">
        <v>13</v>
      </c>
      <c r="E272" t="s">
        <v>24</v>
      </c>
      <c r="F272">
        <v>32</v>
      </c>
      <c r="G272">
        <v>6577</v>
      </c>
      <c r="H272">
        <v>12</v>
      </c>
      <c r="I272">
        <v>1</v>
      </c>
      <c r="J272" t="s">
        <v>15</v>
      </c>
      <c r="K272" t="s">
        <v>32</v>
      </c>
      <c r="L272" t="s">
        <v>21</v>
      </c>
      <c r="M272">
        <v>78924</v>
      </c>
      <c r="N272" t="s">
        <v>46</v>
      </c>
      <c r="O272" t="s">
        <v>52</v>
      </c>
      <c r="P272" t="s">
        <v>51</v>
      </c>
    </row>
    <row r="273" spans="1:16" x14ac:dyDescent="0.2">
      <c r="A273">
        <v>272</v>
      </c>
      <c r="B273" s="2">
        <v>41363</v>
      </c>
      <c r="C273" t="s">
        <v>18</v>
      </c>
      <c r="D273" t="s">
        <v>19</v>
      </c>
      <c r="E273" t="s">
        <v>14</v>
      </c>
      <c r="F273">
        <v>51</v>
      </c>
      <c r="G273">
        <v>17711</v>
      </c>
      <c r="H273">
        <v>8</v>
      </c>
      <c r="I273">
        <v>1</v>
      </c>
      <c r="J273" t="s">
        <v>20</v>
      </c>
      <c r="K273" t="s">
        <v>32</v>
      </c>
      <c r="L273" t="s">
        <v>21</v>
      </c>
      <c r="M273">
        <v>212532</v>
      </c>
      <c r="N273" t="s">
        <v>47</v>
      </c>
      <c r="O273" t="s">
        <v>52</v>
      </c>
      <c r="P273" t="s">
        <v>51</v>
      </c>
    </row>
    <row r="274" spans="1:16" x14ac:dyDescent="0.2">
      <c r="A274">
        <v>273</v>
      </c>
      <c r="B274" s="2">
        <v>41977</v>
      </c>
      <c r="C274" t="s">
        <v>30</v>
      </c>
      <c r="D274" t="s">
        <v>31</v>
      </c>
      <c r="E274" t="s">
        <v>24</v>
      </c>
      <c r="F274">
        <v>38</v>
      </c>
      <c r="G274">
        <v>11299</v>
      </c>
      <c r="H274">
        <v>5</v>
      </c>
      <c r="I274">
        <v>4</v>
      </c>
      <c r="J274" t="s">
        <v>20</v>
      </c>
      <c r="K274" t="s">
        <v>32</v>
      </c>
      <c r="L274" t="s">
        <v>34</v>
      </c>
      <c r="M274">
        <v>135588</v>
      </c>
      <c r="N274" t="s">
        <v>46</v>
      </c>
      <c r="O274" t="s">
        <v>50</v>
      </c>
      <c r="P274" t="s">
        <v>53</v>
      </c>
    </row>
    <row r="275" spans="1:16" x14ac:dyDescent="0.2">
      <c r="A275">
        <v>274</v>
      </c>
      <c r="B275" s="2">
        <v>40601</v>
      </c>
      <c r="C275" t="s">
        <v>12</v>
      </c>
      <c r="D275" t="s">
        <v>13</v>
      </c>
      <c r="E275" t="s">
        <v>24</v>
      </c>
      <c r="F275">
        <v>32</v>
      </c>
      <c r="G275">
        <v>4140</v>
      </c>
      <c r="H275">
        <v>5</v>
      </c>
      <c r="I275">
        <v>5</v>
      </c>
      <c r="J275" t="s">
        <v>20</v>
      </c>
      <c r="K275" t="s">
        <v>16</v>
      </c>
      <c r="L275" t="s">
        <v>34</v>
      </c>
      <c r="M275">
        <v>49680</v>
      </c>
      <c r="N275" t="s">
        <v>46</v>
      </c>
      <c r="O275" t="s">
        <v>50</v>
      </c>
      <c r="P275" t="s">
        <v>53</v>
      </c>
    </row>
    <row r="276" spans="1:16" x14ac:dyDescent="0.2">
      <c r="A276">
        <v>275</v>
      </c>
      <c r="B276" s="2">
        <v>44045</v>
      </c>
      <c r="C276" t="s">
        <v>18</v>
      </c>
      <c r="D276" t="s">
        <v>19</v>
      </c>
      <c r="E276" t="s">
        <v>24</v>
      </c>
      <c r="F276">
        <v>55</v>
      </c>
      <c r="G276">
        <v>19218</v>
      </c>
      <c r="H276">
        <v>11</v>
      </c>
      <c r="I276">
        <v>5</v>
      </c>
      <c r="J276" t="s">
        <v>20</v>
      </c>
      <c r="K276" t="s">
        <v>32</v>
      </c>
      <c r="L276" t="s">
        <v>17</v>
      </c>
      <c r="M276">
        <v>230616</v>
      </c>
      <c r="N276" t="s">
        <v>47</v>
      </c>
      <c r="O276" t="s">
        <v>52</v>
      </c>
      <c r="P276" t="s">
        <v>53</v>
      </c>
    </row>
    <row r="277" spans="1:16" x14ac:dyDescent="0.2">
      <c r="A277">
        <v>276</v>
      </c>
      <c r="B277" s="2">
        <v>40236</v>
      </c>
      <c r="C277" t="s">
        <v>30</v>
      </c>
      <c r="D277" t="s">
        <v>38</v>
      </c>
      <c r="E277" t="s">
        <v>14</v>
      </c>
      <c r="F277">
        <v>56</v>
      </c>
      <c r="G277">
        <v>15061</v>
      </c>
      <c r="H277">
        <v>1</v>
      </c>
      <c r="I277">
        <v>3</v>
      </c>
      <c r="J277" t="s">
        <v>15</v>
      </c>
      <c r="K277" t="s">
        <v>16</v>
      </c>
      <c r="L277" t="s">
        <v>25</v>
      </c>
      <c r="M277">
        <v>180732</v>
      </c>
      <c r="N277" t="s">
        <v>47</v>
      </c>
      <c r="O277" t="s">
        <v>54</v>
      </c>
      <c r="P277" t="s">
        <v>55</v>
      </c>
    </row>
    <row r="278" spans="1:16" x14ac:dyDescent="0.2">
      <c r="A278">
        <v>277</v>
      </c>
      <c r="B278" s="2">
        <v>41163</v>
      </c>
      <c r="C278" t="s">
        <v>30</v>
      </c>
      <c r="D278" t="s">
        <v>31</v>
      </c>
      <c r="E278" t="s">
        <v>14</v>
      </c>
      <c r="F278">
        <v>37</v>
      </c>
      <c r="G278">
        <v>10994</v>
      </c>
      <c r="H278">
        <v>15</v>
      </c>
      <c r="I278">
        <v>4</v>
      </c>
      <c r="J278" t="s">
        <v>20</v>
      </c>
      <c r="K278" t="s">
        <v>16</v>
      </c>
      <c r="L278" t="s">
        <v>25</v>
      </c>
      <c r="M278">
        <v>131928</v>
      </c>
      <c r="N278" t="s">
        <v>46</v>
      </c>
      <c r="O278" t="s">
        <v>52</v>
      </c>
      <c r="P278" t="s">
        <v>53</v>
      </c>
    </row>
    <row r="279" spans="1:16" x14ac:dyDescent="0.2">
      <c r="A279">
        <v>278</v>
      </c>
      <c r="B279" s="2">
        <v>41343</v>
      </c>
      <c r="C279" t="s">
        <v>28</v>
      </c>
      <c r="D279" t="s">
        <v>33</v>
      </c>
      <c r="E279" t="s">
        <v>14</v>
      </c>
      <c r="F279">
        <v>27</v>
      </c>
      <c r="G279">
        <v>6223</v>
      </c>
      <c r="H279">
        <v>1</v>
      </c>
      <c r="I279">
        <v>1</v>
      </c>
      <c r="J279" t="s">
        <v>20</v>
      </c>
      <c r="K279" t="s">
        <v>16</v>
      </c>
      <c r="L279" t="s">
        <v>25</v>
      </c>
      <c r="M279">
        <v>74676</v>
      </c>
      <c r="N279" t="s">
        <v>45</v>
      </c>
      <c r="O279" t="s">
        <v>54</v>
      </c>
      <c r="P279" t="s">
        <v>51</v>
      </c>
    </row>
    <row r="280" spans="1:16" x14ac:dyDescent="0.2">
      <c r="A280">
        <v>279</v>
      </c>
      <c r="B280" s="2">
        <v>45101</v>
      </c>
      <c r="C280" t="s">
        <v>22</v>
      </c>
      <c r="D280" t="s">
        <v>23</v>
      </c>
      <c r="E280" t="s">
        <v>14</v>
      </c>
      <c r="F280">
        <v>46</v>
      </c>
      <c r="G280">
        <v>18462</v>
      </c>
      <c r="H280">
        <v>12</v>
      </c>
      <c r="I280">
        <v>3</v>
      </c>
      <c r="J280" t="s">
        <v>15</v>
      </c>
      <c r="K280" t="s">
        <v>27</v>
      </c>
      <c r="L280" t="s">
        <v>34</v>
      </c>
      <c r="M280">
        <v>221544</v>
      </c>
      <c r="N280" t="s">
        <v>47</v>
      </c>
      <c r="O280" t="s">
        <v>52</v>
      </c>
      <c r="P280" t="s">
        <v>55</v>
      </c>
    </row>
    <row r="281" spans="1:16" x14ac:dyDescent="0.2">
      <c r="A281">
        <v>280</v>
      </c>
      <c r="B281" s="2">
        <v>41557</v>
      </c>
      <c r="C281" t="s">
        <v>36</v>
      </c>
      <c r="D281" t="s">
        <v>42</v>
      </c>
      <c r="E281" t="s">
        <v>24</v>
      </c>
      <c r="F281">
        <v>45</v>
      </c>
      <c r="G281">
        <v>7544</v>
      </c>
      <c r="H281">
        <v>2</v>
      </c>
      <c r="I281">
        <v>4</v>
      </c>
      <c r="J281" t="s">
        <v>20</v>
      </c>
      <c r="K281" t="s">
        <v>16</v>
      </c>
      <c r="L281" t="s">
        <v>34</v>
      </c>
      <c r="M281">
        <v>90528</v>
      </c>
      <c r="N281" t="s">
        <v>46</v>
      </c>
      <c r="O281" t="s">
        <v>54</v>
      </c>
      <c r="P281" t="s">
        <v>53</v>
      </c>
    </row>
    <row r="282" spans="1:16" x14ac:dyDescent="0.2">
      <c r="A282">
        <v>281</v>
      </c>
      <c r="B282" s="2">
        <v>40624</v>
      </c>
      <c r="C282" t="s">
        <v>36</v>
      </c>
      <c r="D282" t="s">
        <v>42</v>
      </c>
      <c r="E282" t="s">
        <v>24</v>
      </c>
      <c r="F282">
        <v>35</v>
      </c>
      <c r="G282">
        <v>16492</v>
      </c>
      <c r="H282">
        <v>13</v>
      </c>
      <c r="I282">
        <v>2</v>
      </c>
      <c r="J282" t="s">
        <v>20</v>
      </c>
      <c r="K282" t="s">
        <v>32</v>
      </c>
      <c r="L282" t="s">
        <v>17</v>
      </c>
      <c r="M282">
        <v>197904</v>
      </c>
      <c r="N282" t="s">
        <v>46</v>
      </c>
      <c r="O282" t="s">
        <v>52</v>
      </c>
      <c r="P282" t="s">
        <v>51</v>
      </c>
    </row>
    <row r="283" spans="1:16" x14ac:dyDescent="0.2">
      <c r="A283">
        <v>282</v>
      </c>
      <c r="B283" s="2">
        <v>44201</v>
      </c>
      <c r="C283" t="s">
        <v>22</v>
      </c>
      <c r="D283" t="s">
        <v>35</v>
      </c>
      <c r="E283" t="s">
        <v>14</v>
      </c>
      <c r="F283">
        <v>45</v>
      </c>
      <c r="G283">
        <v>19673</v>
      </c>
      <c r="H283">
        <v>1</v>
      </c>
      <c r="I283">
        <v>2</v>
      </c>
      <c r="J283" t="s">
        <v>20</v>
      </c>
      <c r="K283" t="s">
        <v>32</v>
      </c>
      <c r="L283" t="s">
        <v>17</v>
      </c>
      <c r="M283">
        <v>236076</v>
      </c>
      <c r="N283" t="s">
        <v>46</v>
      </c>
      <c r="O283" t="s">
        <v>54</v>
      </c>
      <c r="P283" t="s">
        <v>51</v>
      </c>
    </row>
    <row r="284" spans="1:16" x14ac:dyDescent="0.2">
      <c r="A284">
        <v>283</v>
      </c>
      <c r="B284" s="2">
        <v>43974</v>
      </c>
      <c r="C284" t="s">
        <v>36</v>
      </c>
      <c r="D284" t="s">
        <v>37</v>
      </c>
      <c r="E284" t="s">
        <v>14</v>
      </c>
      <c r="F284">
        <v>41</v>
      </c>
      <c r="G284">
        <v>7135</v>
      </c>
      <c r="H284">
        <v>14</v>
      </c>
      <c r="I284">
        <v>2</v>
      </c>
      <c r="J284" t="s">
        <v>20</v>
      </c>
      <c r="K284" t="s">
        <v>32</v>
      </c>
      <c r="L284" t="s">
        <v>39</v>
      </c>
      <c r="M284">
        <v>85620</v>
      </c>
      <c r="N284" t="s">
        <v>46</v>
      </c>
      <c r="O284" t="s">
        <v>52</v>
      </c>
      <c r="P284" t="s">
        <v>51</v>
      </c>
    </row>
    <row r="285" spans="1:16" x14ac:dyDescent="0.2">
      <c r="A285">
        <v>284</v>
      </c>
      <c r="B285" s="2">
        <v>42828</v>
      </c>
      <c r="C285" t="s">
        <v>22</v>
      </c>
      <c r="D285" t="s">
        <v>35</v>
      </c>
      <c r="E285" t="s">
        <v>14</v>
      </c>
      <c r="F285">
        <v>50</v>
      </c>
      <c r="G285">
        <v>15483</v>
      </c>
      <c r="H285">
        <v>15</v>
      </c>
      <c r="I285">
        <v>2</v>
      </c>
      <c r="J285" t="s">
        <v>20</v>
      </c>
      <c r="K285" t="s">
        <v>32</v>
      </c>
      <c r="L285" t="s">
        <v>39</v>
      </c>
      <c r="M285">
        <v>185796</v>
      </c>
      <c r="N285" t="s">
        <v>47</v>
      </c>
      <c r="O285" t="s">
        <v>52</v>
      </c>
      <c r="P285" t="s">
        <v>51</v>
      </c>
    </row>
    <row r="286" spans="1:16" x14ac:dyDescent="0.2">
      <c r="A286">
        <v>285</v>
      </c>
      <c r="B286" s="2">
        <v>43656</v>
      </c>
      <c r="C286" t="s">
        <v>30</v>
      </c>
      <c r="D286" t="s">
        <v>38</v>
      </c>
      <c r="E286" t="s">
        <v>14</v>
      </c>
      <c r="F286">
        <v>36</v>
      </c>
      <c r="G286">
        <v>5637</v>
      </c>
      <c r="H286">
        <v>2</v>
      </c>
      <c r="I286">
        <v>5</v>
      </c>
      <c r="J286" t="s">
        <v>15</v>
      </c>
      <c r="K286" t="s">
        <v>16</v>
      </c>
      <c r="L286" t="s">
        <v>34</v>
      </c>
      <c r="M286">
        <v>67644</v>
      </c>
      <c r="N286" t="s">
        <v>46</v>
      </c>
      <c r="O286" t="s">
        <v>54</v>
      </c>
      <c r="P286" t="s">
        <v>53</v>
      </c>
    </row>
    <row r="287" spans="1:16" x14ac:dyDescent="0.2">
      <c r="A287">
        <v>286</v>
      </c>
      <c r="B287" s="2">
        <v>42440</v>
      </c>
      <c r="C287" t="s">
        <v>30</v>
      </c>
      <c r="D287" t="s">
        <v>31</v>
      </c>
      <c r="E287" t="s">
        <v>14</v>
      </c>
      <c r="F287">
        <v>23</v>
      </c>
      <c r="G287">
        <v>14807</v>
      </c>
      <c r="H287">
        <v>3</v>
      </c>
      <c r="I287">
        <v>5</v>
      </c>
      <c r="J287" t="s">
        <v>20</v>
      </c>
      <c r="K287" t="s">
        <v>27</v>
      </c>
      <c r="L287" t="s">
        <v>17</v>
      </c>
      <c r="M287">
        <v>177684</v>
      </c>
      <c r="N287" t="s">
        <v>45</v>
      </c>
      <c r="O287" t="s">
        <v>50</v>
      </c>
      <c r="P287" t="s">
        <v>53</v>
      </c>
    </row>
    <row r="288" spans="1:16" x14ac:dyDescent="0.2">
      <c r="A288">
        <v>287</v>
      </c>
      <c r="B288" s="2">
        <v>44687</v>
      </c>
      <c r="C288" t="s">
        <v>28</v>
      </c>
      <c r="D288" t="s">
        <v>29</v>
      </c>
      <c r="E288" t="s">
        <v>24</v>
      </c>
      <c r="F288">
        <v>30</v>
      </c>
      <c r="G288">
        <v>16045</v>
      </c>
      <c r="H288">
        <v>5</v>
      </c>
      <c r="I288">
        <v>5</v>
      </c>
      <c r="J288" t="s">
        <v>20</v>
      </c>
      <c r="K288" t="s">
        <v>32</v>
      </c>
      <c r="L288" t="s">
        <v>17</v>
      </c>
      <c r="M288">
        <v>192540</v>
      </c>
      <c r="N288" t="s">
        <v>46</v>
      </c>
      <c r="O288" t="s">
        <v>50</v>
      </c>
      <c r="P288" t="s">
        <v>53</v>
      </c>
    </row>
    <row r="289" spans="1:16" x14ac:dyDescent="0.2">
      <c r="A289">
        <v>288</v>
      </c>
      <c r="B289" s="2">
        <v>42257</v>
      </c>
      <c r="C289" t="s">
        <v>12</v>
      </c>
      <c r="D289" t="s">
        <v>13</v>
      </c>
      <c r="E289" t="s">
        <v>14</v>
      </c>
      <c r="F289">
        <v>47</v>
      </c>
      <c r="G289">
        <v>19304</v>
      </c>
      <c r="H289">
        <v>6</v>
      </c>
      <c r="I289">
        <v>4</v>
      </c>
      <c r="J289" t="s">
        <v>20</v>
      </c>
      <c r="K289" t="s">
        <v>32</v>
      </c>
      <c r="L289" t="s">
        <v>25</v>
      </c>
      <c r="M289">
        <v>231648</v>
      </c>
      <c r="N289" t="s">
        <v>47</v>
      </c>
      <c r="O289" t="s">
        <v>50</v>
      </c>
      <c r="P289" t="s">
        <v>53</v>
      </c>
    </row>
    <row r="290" spans="1:16" x14ac:dyDescent="0.2">
      <c r="A290">
        <v>289</v>
      </c>
      <c r="B290" s="2">
        <v>44052</v>
      </c>
      <c r="C290" t="s">
        <v>28</v>
      </c>
      <c r="D290" t="s">
        <v>29</v>
      </c>
      <c r="E290" t="s">
        <v>14</v>
      </c>
      <c r="F290">
        <v>56</v>
      </c>
      <c r="G290">
        <v>8084</v>
      </c>
      <c r="H290">
        <v>4</v>
      </c>
      <c r="I290">
        <v>2</v>
      </c>
      <c r="J290" t="s">
        <v>15</v>
      </c>
      <c r="K290" t="s">
        <v>27</v>
      </c>
      <c r="L290" t="s">
        <v>34</v>
      </c>
      <c r="M290">
        <v>97008</v>
      </c>
      <c r="N290" t="s">
        <v>47</v>
      </c>
      <c r="O290" t="s">
        <v>50</v>
      </c>
      <c r="P290" t="s">
        <v>51</v>
      </c>
    </row>
    <row r="291" spans="1:16" x14ac:dyDescent="0.2">
      <c r="A291">
        <v>290</v>
      </c>
      <c r="B291" s="2">
        <v>43644</v>
      </c>
      <c r="C291" t="s">
        <v>36</v>
      </c>
      <c r="D291" t="s">
        <v>42</v>
      </c>
      <c r="E291" t="s">
        <v>14</v>
      </c>
      <c r="F291">
        <v>34</v>
      </c>
      <c r="G291">
        <v>6195</v>
      </c>
      <c r="H291">
        <v>2</v>
      </c>
      <c r="I291">
        <v>4</v>
      </c>
      <c r="J291" t="s">
        <v>15</v>
      </c>
      <c r="K291" t="s">
        <v>16</v>
      </c>
      <c r="L291" t="s">
        <v>21</v>
      </c>
      <c r="M291">
        <v>74340</v>
      </c>
      <c r="N291" t="s">
        <v>46</v>
      </c>
      <c r="O291" t="s">
        <v>54</v>
      </c>
      <c r="P291" t="s">
        <v>53</v>
      </c>
    </row>
    <row r="292" spans="1:16" x14ac:dyDescent="0.2">
      <c r="A292">
        <v>291</v>
      </c>
      <c r="B292" s="2">
        <v>40914</v>
      </c>
      <c r="C292" t="s">
        <v>36</v>
      </c>
      <c r="D292" t="s">
        <v>42</v>
      </c>
      <c r="E292" t="s">
        <v>14</v>
      </c>
      <c r="F292">
        <v>45</v>
      </c>
      <c r="G292">
        <v>5798</v>
      </c>
      <c r="H292">
        <v>6</v>
      </c>
      <c r="I292">
        <v>1</v>
      </c>
      <c r="J292" t="s">
        <v>20</v>
      </c>
      <c r="K292" t="s">
        <v>32</v>
      </c>
      <c r="L292" t="s">
        <v>17</v>
      </c>
      <c r="M292">
        <v>69576</v>
      </c>
      <c r="N292" t="s">
        <v>46</v>
      </c>
      <c r="O292" t="s">
        <v>50</v>
      </c>
      <c r="P292" t="s">
        <v>51</v>
      </c>
    </row>
    <row r="293" spans="1:16" x14ac:dyDescent="0.2">
      <c r="A293">
        <v>292</v>
      </c>
      <c r="B293" s="2">
        <v>41984</v>
      </c>
      <c r="C293" t="s">
        <v>28</v>
      </c>
      <c r="D293" t="s">
        <v>29</v>
      </c>
      <c r="E293" t="s">
        <v>24</v>
      </c>
      <c r="F293">
        <v>41</v>
      </c>
      <c r="G293">
        <v>13111</v>
      </c>
      <c r="H293">
        <v>5</v>
      </c>
      <c r="I293">
        <v>1</v>
      </c>
      <c r="J293" t="s">
        <v>15</v>
      </c>
      <c r="K293" t="s">
        <v>32</v>
      </c>
      <c r="L293" t="s">
        <v>17</v>
      </c>
      <c r="M293">
        <v>157332</v>
      </c>
      <c r="N293" t="s">
        <v>46</v>
      </c>
      <c r="O293" t="s">
        <v>50</v>
      </c>
      <c r="P293" t="s">
        <v>51</v>
      </c>
    </row>
    <row r="294" spans="1:16" x14ac:dyDescent="0.2">
      <c r="A294">
        <v>293</v>
      </c>
      <c r="B294" s="2">
        <v>43028</v>
      </c>
      <c r="C294" t="s">
        <v>28</v>
      </c>
      <c r="D294" t="s">
        <v>29</v>
      </c>
      <c r="E294" t="s">
        <v>24</v>
      </c>
      <c r="F294">
        <v>59</v>
      </c>
      <c r="G294">
        <v>17012</v>
      </c>
      <c r="H294">
        <v>1</v>
      </c>
      <c r="I294">
        <v>5</v>
      </c>
      <c r="J294" t="s">
        <v>15</v>
      </c>
      <c r="K294" t="s">
        <v>16</v>
      </c>
      <c r="L294" t="s">
        <v>34</v>
      </c>
      <c r="M294">
        <v>204144</v>
      </c>
      <c r="N294" t="s">
        <v>47</v>
      </c>
      <c r="O294" t="s">
        <v>54</v>
      </c>
      <c r="P294" t="s">
        <v>53</v>
      </c>
    </row>
    <row r="295" spans="1:16" x14ac:dyDescent="0.2">
      <c r="A295">
        <v>294</v>
      </c>
      <c r="B295" s="2">
        <v>44358</v>
      </c>
      <c r="C295" t="s">
        <v>30</v>
      </c>
      <c r="D295" t="s">
        <v>38</v>
      </c>
      <c r="E295" t="s">
        <v>14</v>
      </c>
      <c r="F295">
        <v>31</v>
      </c>
      <c r="G295">
        <v>8868</v>
      </c>
      <c r="H295">
        <v>8</v>
      </c>
      <c r="I295">
        <v>3</v>
      </c>
      <c r="J295" t="s">
        <v>20</v>
      </c>
      <c r="K295" t="s">
        <v>32</v>
      </c>
      <c r="L295" t="s">
        <v>21</v>
      </c>
      <c r="M295">
        <v>106416</v>
      </c>
      <c r="N295" t="s">
        <v>46</v>
      </c>
      <c r="O295" t="s">
        <v>52</v>
      </c>
      <c r="P295" t="s">
        <v>55</v>
      </c>
    </row>
    <row r="296" spans="1:16" x14ac:dyDescent="0.2">
      <c r="A296">
        <v>295</v>
      </c>
      <c r="B296" s="2">
        <v>41773</v>
      </c>
      <c r="C296" t="s">
        <v>36</v>
      </c>
      <c r="D296" t="s">
        <v>40</v>
      </c>
      <c r="E296" t="s">
        <v>24</v>
      </c>
      <c r="F296">
        <v>59</v>
      </c>
      <c r="G296">
        <v>5060</v>
      </c>
      <c r="H296">
        <v>5</v>
      </c>
      <c r="I296">
        <v>2</v>
      </c>
      <c r="J296" t="s">
        <v>15</v>
      </c>
      <c r="K296" t="s">
        <v>16</v>
      </c>
      <c r="L296" t="s">
        <v>25</v>
      </c>
      <c r="M296">
        <v>60720</v>
      </c>
      <c r="N296" t="s">
        <v>47</v>
      </c>
      <c r="O296" t="s">
        <v>50</v>
      </c>
      <c r="P296" t="s">
        <v>51</v>
      </c>
    </row>
    <row r="297" spans="1:16" x14ac:dyDescent="0.2">
      <c r="A297">
        <v>296</v>
      </c>
      <c r="B297" s="2">
        <v>41211</v>
      </c>
      <c r="C297" t="s">
        <v>36</v>
      </c>
      <c r="D297" t="s">
        <v>42</v>
      </c>
      <c r="E297" t="s">
        <v>24</v>
      </c>
      <c r="F297">
        <v>53</v>
      </c>
      <c r="G297">
        <v>18713</v>
      </c>
      <c r="H297">
        <v>4</v>
      </c>
      <c r="I297">
        <v>4</v>
      </c>
      <c r="J297" t="s">
        <v>15</v>
      </c>
      <c r="K297" t="s">
        <v>27</v>
      </c>
      <c r="L297" t="s">
        <v>25</v>
      </c>
      <c r="M297">
        <v>224556</v>
      </c>
      <c r="N297" t="s">
        <v>47</v>
      </c>
      <c r="O297" t="s">
        <v>50</v>
      </c>
      <c r="P297" t="s">
        <v>53</v>
      </c>
    </row>
    <row r="298" spans="1:16" x14ac:dyDescent="0.2">
      <c r="A298">
        <v>297</v>
      </c>
      <c r="B298" s="2">
        <v>44291</v>
      </c>
      <c r="C298" t="s">
        <v>36</v>
      </c>
      <c r="D298" t="s">
        <v>40</v>
      </c>
      <c r="E298" t="s">
        <v>24</v>
      </c>
      <c r="F298">
        <v>33</v>
      </c>
      <c r="G298">
        <v>18551</v>
      </c>
      <c r="H298">
        <v>10</v>
      </c>
      <c r="I298">
        <v>4</v>
      </c>
      <c r="J298" t="s">
        <v>15</v>
      </c>
      <c r="K298" t="s">
        <v>16</v>
      </c>
      <c r="L298" t="s">
        <v>17</v>
      </c>
      <c r="M298">
        <v>222612</v>
      </c>
      <c r="N298" t="s">
        <v>46</v>
      </c>
      <c r="O298" t="s">
        <v>52</v>
      </c>
      <c r="P298" t="s">
        <v>53</v>
      </c>
    </row>
    <row r="299" spans="1:16" x14ac:dyDescent="0.2">
      <c r="A299">
        <v>298</v>
      </c>
      <c r="B299" s="2">
        <v>43311</v>
      </c>
      <c r="C299" t="s">
        <v>36</v>
      </c>
      <c r="D299" t="s">
        <v>42</v>
      </c>
      <c r="E299" t="s">
        <v>24</v>
      </c>
      <c r="F299">
        <v>60</v>
      </c>
      <c r="G299">
        <v>12963</v>
      </c>
      <c r="H299">
        <v>10</v>
      </c>
      <c r="I299">
        <v>5</v>
      </c>
      <c r="J299" t="s">
        <v>15</v>
      </c>
      <c r="K299" t="s">
        <v>27</v>
      </c>
      <c r="L299" t="s">
        <v>25</v>
      </c>
      <c r="M299">
        <v>155556</v>
      </c>
      <c r="N299" t="s">
        <v>47</v>
      </c>
      <c r="O299" t="s">
        <v>52</v>
      </c>
      <c r="P299" t="s">
        <v>53</v>
      </c>
    </row>
    <row r="300" spans="1:16" x14ac:dyDescent="0.2">
      <c r="A300">
        <v>299</v>
      </c>
      <c r="B300" s="2">
        <v>44981</v>
      </c>
      <c r="C300" t="s">
        <v>28</v>
      </c>
      <c r="D300" t="s">
        <v>33</v>
      </c>
      <c r="E300" t="s">
        <v>24</v>
      </c>
      <c r="F300">
        <v>33</v>
      </c>
      <c r="G300">
        <v>7785</v>
      </c>
      <c r="H300">
        <v>5</v>
      </c>
      <c r="I300">
        <v>1</v>
      </c>
      <c r="J300" t="s">
        <v>15</v>
      </c>
      <c r="K300" t="s">
        <v>32</v>
      </c>
      <c r="L300" t="s">
        <v>25</v>
      </c>
      <c r="M300">
        <v>93420</v>
      </c>
      <c r="N300" t="s">
        <v>46</v>
      </c>
      <c r="O300" t="s">
        <v>50</v>
      </c>
      <c r="P300" t="s">
        <v>51</v>
      </c>
    </row>
    <row r="301" spans="1:16" x14ac:dyDescent="0.2">
      <c r="A301">
        <v>300</v>
      </c>
      <c r="B301" s="2">
        <v>44541</v>
      </c>
      <c r="C301" t="s">
        <v>30</v>
      </c>
      <c r="D301" t="s">
        <v>38</v>
      </c>
      <c r="E301" t="s">
        <v>24</v>
      </c>
      <c r="F301">
        <v>42</v>
      </c>
      <c r="G301">
        <v>15916</v>
      </c>
      <c r="H301">
        <v>3</v>
      </c>
      <c r="I301">
        <v>2</v>
      </c>
      <c r="J301" t="s">
        <v>15</v>
      </c>
      <c r="K301" t="s">
        <v>16</v>
      </c>
      <c r="L301" t="s">
        <v>25</v>
      </c>
      <c r="M301">
        <v>190992</v>
      </c>
      <c r="N301" t="s">
        <v>46</v>
      </c>
      <c r="O301" t="s">
        <v>50</v>
      </c>
      <c r="P301" t="s">
        <v>51</v>
      </c>
    </row>
    <row r="302" spans="1:16" x14ac:dyDescent="0.2">
      <c r="A302">
        <v>301</v>
      </c>
      <c r="B302" s="2">
        <v>40496</v>
      </c>
      <c r="C302" t="s">
        <v>30</v>
      </c>
      <c r="D302" t="s">
        <v>31</v>
      </c>
      <c r="E302" t="s">
        <v>24</v>
      </c>
      <c r="F302">
        <v>60</v>
      </c>
      <c r="G302">
        <v>10156</v>
      </c>
      <c r="H302">
        <v>3</v>
      </c>
      <c r="I302">
        <v>2</v>
      </c>
      <c r="J302" t="s">
        <v>15</v>
      </c>
      <c r="K302" t="s">
        <v>16</v>
      </c>
      <c r="L302" t="s">
        <v>34</v>
      </c>
      <c r="M302">
        <v>121872</v>
      </c>
      <c r="N302" t="s">
        <v>47</v>
      </c>
      <c r="O302" t="s">
        <v>50</v>
      </c>
      <c r="P302" t="s">
        <v>51</v>
      </c>
    </row>
    <row r="303" spans="1:16" x14ac:dyDescent="0.2">
      <c r="A303">
        <v>302</v>
      </c>
      <c r="B303" s="2">
        <v>41931</v>
      </c>
      <c r="C303" t="s">
        <v>12</v>
      </c>
      <c r="D303" t="s">
        <v>41</v>
      </c>
      <c r="E303" t="s">
        <v>24</v>
      </c>
      <c r="F303">
        <v>43</v>
      </c>
      <c r="G303">
        <v>19442</v>
      </c>
      <c r="H303">
        <v>12</v>
      </c>
      <c r="I303">
        <v>5</v>
      </c>
      <c r="J303" t="s">
        <v>20</v>
      </c>
      <c r="K303" t="s">
        <v>27</v>
      </c>
      <c r="L303" t="s">
        <v>21</v>
      </c>
      <c r="M303">
        <v>233304</v>
      </c>
      <c r="N303" t="s">
        <v>46</v>
      </c>
      <c r="O303" t="s">
        <v>52</v>
      </c>
      <c r="P303" t="s">
        <v>53</v>
      </c>
    </row>
    <row r="304" spans="1:16" x14ac:dyDescent="0.2">
      <c r="A304">
        <v>303</v>
      </c>
      <c r="B304" s="2">
        <v>43623</v>
      </c>
      <c r="C304" t="s">
        <v>18</v>
      </c>
      <c r="D304" t="s">
        <v>19</v>
      </c>
      <c r="E304" t="s">
        <v>14</v>
      </c>
      <c r="F304">
        <v>35</v>
      </c>
      <c r="G304">
        <v>15846</v>
      </c>
      <c r="H304">
        <v>6</v>
      </c>
      <c r="I304">
        <v>4</v>
      </c>
      <c r="J304" t="s">
        <v>15</v>
      </c>
      <c r="K304" t="s">
        <v>16</v>
      </c>
      <c r="L304" t="s">
        <v>17</v>
      </c>
      <c r="M304">
        <v>190152</v>
      </c>
      <c r="N304" t="s">
        <v>46</v>
      </c>
      <c r="O304" t="s">
        <v>50</v>
      </c>
      <c r="P304" t="s">
        <v>53</v>
      </c>
    </row>
    <row r="305" spans="1:16" x14ac:dyDescent="0.2">
      <c r="A305">
        <v>304</v>
      </c>
      <c r="B305" s="2">
        <v>43539</v>
      </c>
      <c r="C305" t="s">
        <v>22</v>
      </c>
      <c r="D305" t="s">
        <v>35</v>
      </c>
      <c r="E305" t="s">
        <v>24</v>
      </c>
      <c r="F305">
        <v>31</v>
      </c>
      <c r="G305">
        <v>9182</v>
      </c>
      <c r="H305">
        <v>2</v>
      </c>
      <c r="I305">
        <v>4</v>
      </c>
      <c r="J305" t="s">
        <v>20</v>
      </c>
      <c r="K305" t="s">
        <v>27</v>
      </c>
      <c r="L305" t="s">
        <v>34</v>
      </c>
      <c r="M305">
        <v>110184</v>
      </c>
      <c r="N305" t="s">
        <v>46</v>
      </c>
      <c r="O305" t="s">
        <v>54</v>
      </c>
      <c r="P305" t="s">
        <v>53</v>
      </c>
    </row>
    <row r="306" spans="1:16" x14ac:dyDescent="0.2">
      <c r="A306">
        <v>305</v>
      </c>
      <c r="B306" s="2">
        <v>44036</v>
      </c>
      <c r="C306" t="s">
        <v>36</v>
      </c>
      <c r="D306" t="s">
        <v>37</v>
      </c>
      <c r="E306" t="s">
        <v>14</v>
      </c>
      <c r="F306">
        <v>59</v>
      </c>
      <c r="G306">
        <v>9913</v>
      </c>
      <c r="H306">
        <v>14</v>
      </c>
      <c r="I306">
        <v>4</v>
      </c>
      <c r="J306" t="s">
        <v>20</v>
      </c>
      <c r="K306" t="s">
        <v>27</v>
      </c>
      <c r="L306" t="s">
        <v>25</v>
      </c>
      <c r="M306">
        <v>118956</v>
      </c>
      <c r="N306" t="s">
        <v>47</v>
      </c>
      <c r="O306" t="s">
        <v>52</v>
      </c>
      <c r="P306" t="s">
        <v>53</v>
      </c>
    </row>
    <row r="307" spans="1:16" x14ac:dyDescent="0.2">
      <c r="A307">
        <v>306</v>
      </c>
      <c r="B307" s="2">
        <v>44110</v>
      </c>
      <c r="C307" t="s">
        <v>22</v>
      </c>
      <c r="D307" t="s">
        <v>35</v>
      </c>
      <c r="E307" t="s">
        <v>24</v>
      </c>
      <c r="F307">
        <v>23</v>
      </c>
      <c r="G307">
        <v>9673</v>
      </c>
      <c r="H307">
        <v>7</v>
      </c>
      <c r="I307">
        <v>5</v>
      </c>
      <c r="J307" t="s">
        <v>15</v>
      </c>
      <c r="K307" t="s">
        <v>32</v>
      </c>
      <c r="L307" t="s">
        <v>25</v>
      </c>
      <c r="M307">
        <v>116076</v>
      </c>
      <c r="N307" t="s">
        <v>45</v>
      </c>
      <c r="O307" t="s">
        <v>50</v>
      </c>
      <c r="P307" t="s">
        <v>53</v>
      </c>
    </row>
    <row r="308" spans="1:16" x14ac:dyDescent="0.2">
      <c r="A308">
        <v>307</v>
      </c>
      <c r="B308" s="2">
        <v>44723</v>
      </c>
      <c r="C308" t="s">
        <v>22</v>
      </c>
      <c r="D308" t="s">
        <v>35</v>
      </c>
      <c r="E308" t="s">
        <v>24</v>
      </c>
      <c r="F308">
        <v>43</v>
      </c>
      <c r="G308">
        <v>17071</v>
      </c>
      <c r="H308">
        <v>3</v>
      </c>
      <c r="I308">
        <v>4</v>
      </c>
      <c r="J308" t="s">
        <v>15</v>
      </c>
      <c r="K308" t="s">
        <v>27</v>
      </c>
      <c r="L308" t="s">
        <v>25</v>
      </c>
      <c r="M308">
        <v>204852</v>
      </c>
      <c r="N308" t="s">
        <v>46</v>
      </c>
      <c r="O308" t="s">
        <v>50</v>
      </c>
      <c r="P308" t="s">
        <v>53</v>
      </c>
    </row>
    <row r="309" spans="1:16" x14ac:dyDescent="0.2">
      <c r="A309">
        <v>308</v>
      </c>
      <c r="B309" s="2">
        <v>43256</v>
      </c>
      <c r="C309" t="s">
        <v>18</v>
      </c>
      <c r="D309" t="s">
        <v>19</v>
      </c>
      <c r="E309" t="s">
        <v>24</v>
      </c>
      <c r="F309">
        <v>22</v>
      </c>
      <c r="G309">
        <v>5269</v>
      </c>
      <c r="H309">
        <v>2</v>
      </c>
      <c r="I309">
        <v>4</v>
      </c>
      <c r="J309" t="s">
        <v>15</v>
      </c>
      <c r="K309" t="s">
        <v>32</v>
      </c>
      <c r="L309" t="s">
        <v>21</v>
      </c>
      <c r="M309">
        <v>63228</v>
      </c>
      <c r="N309" t="s">
        <v>45</v>
      </c>
      <c r="O309" t="s">
        <v>54</v>
      </c>
      <c r="P309" t="s">
        <v>53</v>
      </c>
    </row>
    <row r="310" spans="1:16" x14ac:dyDescent="0.2">
      <c r="A310">
        <v>309</v>
      </c>
      <c r="B310" s="2">
        <v>45054</v>
      </c>
      <c r="C310" t="s">
        <v>18</v>
      </c>
      <c r="D310" t="s">
        <v>19</v>
      </c>
      <c r="E310" t="s">
        <v>24</v>
      </c>
      <c r="F310">
        <v>59</v>
      </c>
      <c r="G310">
        <v>11547</v>
      </c>
      <c r="H310">
        <v>8</v>
      </c>
      <c r="I310">
        <v>3</v>
      </c>
      <c r="J310" t="s">
        <v>15</v>
      </c>
      <c r="K310" t="s">
        <v>32</v>
      </c>
      <c r="L310" t="s">
        <v>21</v>
      </c>
      <c r="M310">
        <v>138564</v>
      </c>
      <c r="N310" t="s">
        <v>47</v>
      </c>
      <c r="O310" t="s">
        <v>52</v>
      </c>
      <c r="P310" t="s">
        <v>55</v>
      </c>
    </row>
    <row r="311" spans="1:16" x14ac:dyDescent="0.2">
      <c r="A311">
        <v>310</v>
      </c>
      <c r="B311" s="2">
        <v>40344</v>
      </c>
      <c r="C311" t="s">
        <v>12</v>
      </c>
      <c r="D311" t="s">
        <v>41</v>
      </c>
      <c r="E311" t="s">
        <v>14</v>
      </c>
      <c r="F311">
        <v>55</v>
      </c>
      <c r="G311">
        <v>13644</v>
      </c>
      <c r="H311">
        <v>3</v>
      </c>
      <c r="I311">
        <v>3</v>
      </c>
      <c r="J311" t="s">
        <v>15</v>
      </c>
      <c r="K311" t="s">
        <v>27</v>
      </c>
      <c r="L311" t="s">
        <v>25</v>
      </c>
      <c r="M311">
        <v>163728</v>
      </c>
      <c r="N311" t="s">
        <v>47</v>
      </c>
      <c r="O311" t="s">
        <v>50</v>
      </c>
      <c r="P311" t="s">
        <v>55</v>
      </c>
    </row>
    <row r="312" spans="1:16" x14ac:dyDescent="0.2">
      <c r="A312">
        <v>311</v>
      </c>
      <c r="B312" s="2">
        <v>42374</v>
      </c>
      <c r="C312" t="s">
        <v>22</v>
      </c>
      <c r="D312" t="s">
        <v>23</v>
      </c>
      <c r="E312" t="s">
        <v>24</v>
      </c>
      <c r="F312">
        <v>60</v>
      </c>
      <c r="G312">
        <v>13291</v>
      </c>
      <c r="H312">
        <v>6</v>
      </c>
      <c r="I312">
        <v>1</v>
      </c>
      <c r="J312" t="s">
        <v>20</v>
      </c>
      <c r="K312" t="s">
        <v>16</v>
      </c>
      <c r="L312" t="s">
        <v>21</v>
      </c>
      <c r="M312">
        <v>159492</v>
      </c>
      <c r="N312" t="s">
        <v>47</v>
      </c>
      <c r="O312" t="s">
        <v>50</v>
      </c>
      <c r="P312" t="s">
        <v>51</v>
      </c>
    </row>
    <row r="313" spans="1:16" x14ac:dyDescent="0.2">
      <c r="A313">
        <v>312</v>
      </c>
      <c r="B313" s="2">
        <v>43026</v>
      </c>
      <c r="C313" t="s">
        <v>30</v>
      </c>
      <c r="D313" t="s">
        <v>38</v>
      </c>
      <c r="E313" t="s">
        <v>14</v>
      </c>
      <c r="F313">
        <v>40</v>
      </c>
      <c r="G313">
        <v>9675</v>
      </c>
      <c r="H313">
        <v>4</v>
      </c>
      <c r="I313">
        <v>5</v>
      </c>
      <c r="J313" t="s">
        <v>15</v>
      </c>
      <c r="K313" t="s">
        <v>27</v>
      </c>
      <c r="L313" t="s">
        <v>25</v>
      </c>
      <c r="M313">
        <v>116100</v>
      </c>
      <c r="N313" t="s">
        <v>46</v>
      </c>
      <c r="O313" t="s">
        <v>50</v>
      </c>
      <c r="P313" t="s">
        <v>53</v>
      </c>
    </row>
    <row r="314" spans="1:16" x14ac:dyDescent="0.2">
      <c r="A314">
        <v>313</v>
      </c>
      <c r="B314" s="2">
        <v>40195</v>
      </c>
      <c r="C314" t="s">
        <v>28</v>
      </c>
      <c r="D314" t="s">
        <v>29</v>
      </c>
      <c r="E314" t="s">
        <v>14</v>
      </c>
      <c r="F314">
        <v>51</v>
      </c>
      <c r="G314">
        <v>10857</v>
      </c>
      <c r="H314">
        <v>13</v>
      </c>
      <c r="I314">
        <v>4</v>
      </c>
      <c r="J314" t="s">
        <v>15</v>
      </c>
      <c r="K314" t="s">
        <v>16</v>
      </c>
      <c r="L314" t="s">
        <v>21</v>
      </c>
      <c r="M314">
        <v>130284</v>
      </c>
      <c r="N314" t="s">
        <v>47</v>
      </c>
      <c r="O314" t="s">
        <v>52</v>
      </c>
      <c r="P314" t="s">
        <v>53</v>
      </c>
    </row>
    <row r="315" spans="1:16" x14ac:dyDescent="0.2">
      <c r="A315">
        <v>314</v>
      </c>
      <c r="B315" s="2">
        <v>41906</v>
      </c>
      <c r="C315" t="s">
        <v>12</v>
      </c>
      <c r="D315" t="s">
        <v>13</v>
      </c>
      <c r="E315" t="s">
        <v>24</v>
      </c>
      <c r="F315">
        <v>24</v>
      </c>
      <c r="G315">
        <v>16070</v>
      </c>
      <c r="H315">
        <v>13</v>
      </c>
      <c r="I315">
        <v>4</v>
      </c>
      <c r="J315" t="s">
        <v>20</v>
      </c>
      <c r="K315" t="s">
        <v>32</v>
      </c>
      <c r="L315" t="s">
        <v>17</v>
      </c>
      <c r="M315">
        <v>192840</v>
      </c>
      <c r="N315" t="s">
        <v>45</v>
      </c>
      <c r="O315" t="s">
        <v>52</v>
      </c>
      <c r="P315" t="s">
        <v>53</v>
      </c>
    </row>
    <row r="316" spans="1:16" x14ac:dyDescent="0.2">
      <c r="A316">
        <v>315</v>
      </c>
      <c r="B316" s="2">
        <v>45050</v>
      </c>
      <c r="C316" t="s">
        <v>18</v>
      </c>
      <c r="D316" t="s">
        <v>19</v>
      </c>
      <c r="E316" t="s">
        <v>14</v>
      </c>
      <c r="F316">
        <v>49</v>
      </c>
      <c r="G316">
        <v>17447</v>
      </c>
      <c r="H316">
        <v>12</v>
      </c>
      <c r="I316">
        <v>4</v>
      </c>
      <c r="J316" t="s">
        <v>20</v>
      </c>
      <c r="K316" t="s">
        <v>16</v>
      </c>
      <c r="L316" t="s">
        <v>21</v>
      </c>
      <c r="M316">
        <v>209364</v>
      </c>
      <c r="N316" t="s">
        <v>47</v>
      </c>
      <c r="O316" t="s">
        <v>52</v>
      </c>
      <c r="P316" t="s">
        <v>53</v>
      </c>
    </row>
    <row r="317" spans="1:16" x14ac:dyDescent="0.2">
      <c r="A317">
        <v>316</v>
      </c>
      <c r="B317" s="2">
        <v>42021</v>
      </c>
      <c r="C317" t="s">
        <v>18</v>
      </c>
      <c r="D317" t="s">
        <v>26</v>
      </c>
      <c r="E317" t="s">
        <v>14</v>
      </c>
      <c r="F317">
        <v>44</v>
      </c>
      <c r="G317">
        <v>11799</v>
      </c>
      <c r="H317">
        <v>2</v>
      </c>
      <c r="I317">
        <v>1</v>
      </c>
      <c r="J317" t="s">
        <v>15</v>
      </c>
      <c r="K317" t="s">
        <v>16</v>
      </c>
      <c r="L317" t="s">
        <v>25</v>
      </c>
      <c r="M317">
        <v>141588</v>
      </c>
      <c r="N317" t="s">
        <v>46</v>
      </c>
      <c r="O317" t="s">
        <v>54</v>
      </c>
      <c r="P317" t="s">
        <v>51</v>
      </c>
    </row>
    <row r="318" spans="1:16" x14ac:dyDescent="0.2">
      <c r="A318">
        <v>317</v>
      </c>
      <c r="B318" s="2">
        <v>43909</v>
      </c>
      <c r="C318" t="s">
        <v>12</v>
      </c>
      <c r="D318" t="s">
        <v>41</v>
      </c>
      <c r="E318" t="s">
        <v>14</v>
      </c>
      <c r="F318">
        <v>27</v>
      </c>
      <c r="G318">
        <v>12551</v>
      </c>
      <c r="H318">
        <v>7</v>
      </c>
      <c r="I318">
        <v>3</v>
      </c>
      <c r="J318" t="s">
        <v>20</v>
      </c>
      <c r="K318" t="s">
        <v>32</v>
      </c>
      <c r="L318" t="s">
        <v>34</v>
      </c>
      <c r="M318">
        <v>150612</v>
      </c>
      <c r="N318" t="s">
        <v>45</v>
      </c>
      <c r="O318" t="s">
        <v>50</v>
      </c>
      <c r="P318" t="s">
        <v>55</v>
      </c>
    </row>
    <row r="319" spans="1:16" x14ac:dyDescent="0.2">
      <c r="A319">
        <v>318</v>
      </c>
      <c r="B319" s="2">
        <v>44939</v>
      </c>
      <c r="C319" t="s">
        <v>28</v>
      </c>
      <c r="D319" t="s">
        <v>33</v>
      </c>
      <c r="E319" t="s">
        <v>14</v>
      </c>
      <c r="F319">
        <v>57</v>
      </c>
      <c r="G319">
        <v>14798</v>
      </c>
      <c r="H319">
        <v>1</v>
      </c>
      <c r="I319">
        <v>4</v>
      </c>
      <c r="J319" t="s">
        <v>20</v>
      </c>
      <c r="K319" t="s">
        <v>32</v>
      </c>
      <c r="L319" t="s">
        <v>21</v>
      </c>
      <c r="M319">
        <v>177576</v>
      </c>
      <c r="N319" t="s">
        <v>47</v>
      </c>
      <c r="O319" t="s">
        <v>54</v>
      </c>
      <c r="P319" t="s">
        <v>53</v>
      </c>
    </row>
    <row r="320" spans="1:16" x14ac:dyDescent="0.2">
      <c r="A320">
        <v>319</v>
      </c>
      <c r="B320" s="2">
        <v>41709</v>
      </c>
      <c r="C320" t="s">
        <v>12</v>
      </c>
      <c r="D320" t="s">
        <v>13</v>
      </c>
      <c r="E320" t="s">
        <v>24</v>
      </c>
      <c r="F320">
        <v>58</v>
      </c>
      <c r="G320">
        <v>14877</v>
      </c>
      <c r="H320">
        <v>8</v>
      </c>
      <c r="I320">
        <v>2</v>
      </c>
      <c r="J320" t="s">
        <v>20</v>
      </c>
      <c r="K320" t="s">
        <v>16</v>
      </c>
      <c r="L320" t="s">
        <v>25</v>
      </c>
      <c r="M320">
        <v>178524</v>
      </c>
      <c r="N320" t="s">
        <v>47</v>
      </c>
      <c r="O320" t="s">
        <v>52</v>
      </c>
      <c r="P320" t="s">
        <v>51</v>
      </c>
    </row>
    <row r="321" spans="1:16" x14ac:dyDescent="0.2">
      <c r="A321">
        <v>320</v>
      </c>
      <c r="B321" s="2">
        <v>40475</v>
      </c>
      <c r="C321" t="s">
        <v>36</v>
      </c>
      <c r="D321" t="s">
        <v>40</v>
      </c>
      <c r="E321" t="s">
        <v>24</v>
      </c>
      <c r="F321">
        <v>42</v>
      </c>
      <c r="G321">
        <v>17544</v>
      </c>
      <c r="H321">
        <v>12</v>
      </c>
      <c r="I321">
        <v>1</v>
      </c>
      <c r="J321" t="s">
        <v>20</v>
      </c>
      <c r="K321" t="s">
        <v>27</v>
      </c>
      <c r="L321" t="s">
        <v>34</v>
      </c>
      <c r="M321">
        <v>210528</v>
      </c>
      <c r="N321" t="s">
        <v>46</v>
      </c>
      <c r="O321" t="s">
        <v>52</v>
      </c>
      <c r="P321" t="s">
        <v>51</v>
      </c>
    </row>
    <row r="322" spans="1:16" x14ac:dyDescent="0.2">
      <c r="A322">
        <v>321</v>
      </c>
      <c r="B322" s="2">
        <v>44204</v>
      </c>
      <c r="C322" t="s">
        <v>30</v>
      </c>
      <c r="D322" t="s">
        <v>31</v>
      </c>
      <c r="E322" t="s">
        <v>24</v>
      </c>
      <c r="F322">
        <v>39</v>
      </c>
      <c r="G322">
        <v>8963</v>
      </c>
      <c r="H322">
        <v>3</v>
      </c>
      <c r="I322">
        <v>2</v>
      </c>
      <c r="J322" t="s">
        <v>15</v>
      </c>
      <c r="K322" t="s">
        <v>32</v>
      </c>
      <c r="L322" t="s">
        <v>25</v>
      </c>
      <c r="M322">
        <v>107556</v>
      </c>
      <c r="N322" t="s">
        <v>46</v>
      </c>
      <c r="O322" t="s">
        <v>50</v>
      </c>
      <c r="P322" t="s">
        <v>51</v>
      </c>
    </row>
    <row r="323" spans="1:16" x14ac:dyDescent="0.2">
      <c r="A323">
        <v>322</v>
      </c>
      <c r="B323" s="2">
        <v>44965</v>
      </c>
      <c r="C323" t="s">
        <v>18</v>
      </c>
      <c r="D323" t="s">
        <v>19</v>
      </c>
      <c r="E323" t="s">
        <v>24</v>
      </c>
      <c r="F323">
        <v>59</v>
      </c>
      <c r="G323">
        <v>10748</v>
      </c>
      <c r="H323">
        <v>1</v>
      </c>
      <c r="I323">
        <v>4</v>
      </c>
      <c r="J323" t="s">
        <v>20</v>
      </c>
      <c r="K323" t="s">
        <v>32</v>
      </c>
      <c r="L323" t="s">
        <v>25</v>
      </c>
      <c r="M323">
        <v>128976</v>
      </c>
      <c r="N323" t="s">
        <v>47</v>
      </c>
      <c r="O323" t="s">
        <v>54</v>
      </c>
      <c r="P323" t="s">
        <v>53</v>
      </c>
    </row>
    <row r="324" spans="1:16" x14ac:dyDescent="0.2">
      <c r="A324">
        <v>323</v>
      </c>
      <c r="B324" s="2">
        <v>43501</v>
      </c>
      <c r="C324" t="s">
        <v>36</v>
      </c>
      <c r="D324" t="s">
        <v>40</v>
      </c>
      <c r="E324" t="s">
        <v>24</v>
      </c>
      <c r="F324">
        <v>51</v>
      </c>
      <c r="G324">
        <v>17522</v>
      </c>
      <c r="H324">
        <v>12</v>
      </c>
      <c r="I324">
        <v>2</v>
      </c>
      <c r="J324" t="s">
        <v>15</v>
      </c>
      <c r="K324" t="s">
        <v>27</v>
      </c>
      <c r="L324" t="s">
        <v>25</v>
      </c>
      <c r="M324">
        <v>210264</v>
      </c>
      <c r="N324" t="s">
        <v>47</v>
      </c>
      <c r="O324" t="s">
        <v>52</v>
      </c>
      <c r="P324" t="s">
        <v>51</v>
      </c>
    </row>
    <row r="325" spans="1:16" x14ac:dyDescent="0.2">
      <c r="A325">
        <v>324</v>
      </c>
      <c r="B325" s="2">
        <v>42136</v>
      </c>
      <c r="C325" t="s">
        <v>28</v>
      </c>
      <c r="D325" t="s">
        <v>29</v>
      </c>
      <c r="E325" t="s">
        <v>24</v>
      </c>
      <c r="F325">
        <v>46</v>
      </c>
      <c r="G325">
        <v>15458</v>
      </c>
      <c r="H325">
        <v>5</v>
      </c>
      <c r="I325">
        <v>2</v>
      </c>
      <c r="J325" t="s">
        <v>20</v>
      </c>
      <c r="K325" t="s">
        <v>27</v>
      </c>
      <c r="L325" t="s">
        <v>21</v>
      </c>
      <c r="M325">
        <v>185496</v>
      </c>
      <c r="N325" t="s">
        <v>47</v>
      </c>
      <c r="O325" t="s">
        <v>50</v>
      </c>
      <c r="P325" t="s">
        <v>51</v>
      </c>
    </row>
    <row r="326" spans="1:16" x14ac:dyDescent="0.2">
      <c r="A326">
        <v>325</v>
      </c>
      <c r="B326" s="2">
        <v>43229</v>
      </c>
      <c r="C326" t="s">
        <v>12</v>
      </c>
      <c r="D326" t="s">
        <v>41</v>
      </c>
      <c r="E326" t="s">
        <v>24</v>
      </c>
      <c r="F326">
        <v>28</v>
      </c>
      <c r="G326">
        <v>17050</v>
      </c>
      <c r="H326">
        <v>7</v>
      </c>
      <c r="I326">
        <v>3</v>
      </c>
      <c r="J326" t="s">
        <v>20</v>
      </c>
      <c r="K326" t="s">
        <v>16</v>
      </c>
      <c r="L326" t="s">
        <v>21</v>
      </c>
      <c r="M326">
        <v>204600</v>
      </c>
      <c r="N326" t="s">
        <v>45</v>
      </c>
      <c r="O326" t="s">
        <v>50</v>
      </c>
      <c r="P326" t="s">
        <v>55</v>
      </c>
    </row>
    <row r="327" spans="1:16" x14ac:dyDescent="0.2">
      <c r="A327">
        <v>326</v>
      </c>
      <c r="B327" s="2">
        <v>41648</v>
      </c>
      <c r="C327" t="s">
        <v>28</v>
      </c>
      <c r="D327" t="s">
        <v>33</v>
      </c>
      <c r="E327" t="s">
        <v>24</v>
      </c>
      <c r="F327">
        <v>49</v>
      </c>
      <c r="G327">
        <v>7047</v>
      </c>
      <c r="H327">
        <v>6</v>
      </c>
      <c r="I327">
        <v>5</v>
      </c>
      <c r="J327" t="s">
        <v>15</v>
      </c>
      <c r="K327" t="s">
        <v>27</v>
      </c>
      <c r="L327" t="s">
        <v>17</v>
      </c>
      <c r="M327">
        <v>84564</v>
      </c>
      <c r="N327" t="s">
        <v>47</v>
      </c>
      <c r="O327" t="s">
        <v>50</v>
      </c>
      <c r="P327" t="s">
        <v>53</v>
      </c>
    </row>
    <row r="328" spans="1:16" x14ac:dyDescent="0.2">
      <c r="A328">
        <v>327</v>
      </c>
      <c r="B328" s="2">
        <v>42383</v>
      </c>
      <c r="C328" t="s">
        <v>12</v>
      </c>
      <c r="D328" t="s">
        <v>41</v>
      </c>
      <c r="E328" t="s">
        <v>24</v>
      </c>
      <c r="F328">
        <v>58</v>
      </c>
      <c r="G328">
        <v>5989</v>
      </c>
      <c r="H328">
        <v>1</v>
      </c>
      <c r="I328">
        <v>4</v>
      </c>
      <c r="J328" t="s">
        <v>15</v>
      </c>
      <c r="K328" t="s">
        <v>16</v>
      </c>
      <c r="L328" t="s">
        <v>25</v>
      </c>
      <c r="M328">
        <v>71868</v>
      </c>
      <c r="N328" t="s">
        <v>47</v>
      </c>
      <c r="O328" t="s">
        <v>54</v>
      </c>
      <c r="P328" t="s">
        <v>53</v>
      </c>
    </row>
    <row r="329" spans="1:16" x14ac:dyDescent="0.2">
      <c r="A329">
        <v>328</v>
      </c>
      <c r="B329" s="2">
        <v>41686</v>
      </c>
      <c r="C329" t="s">
        <v>30</v>
      </c>
      <c r="D329" t="s">
        <v>31</v>
      </c>
      <c r="E329" t="s">
        <v>14</v>
      </c>
      <c r="F329">
        <v>59</v>
      </c>
      <c r="G329">
        <v>12539</v>
      </c>
      <c r="H329">
        <v>8</v>
      </c>
      <c r="I329">
        <v>4</v>
      </c>
      <c r="J329" t="s">
        <v>15</v>
      </c>
      <c r="K329" t="s">
        <v>32</v>
      </c>
      <c r="L329" t="s">
        <v>17</v>
      </c>
      <c r="M329">
        <v>150468</v>
      </c>
      <c r="N329" t="s">
        <v>47</v>
      </c>
      <c r="O329" t="s">
        <v>52</v>
      </c>
      <c r="P329" t="s">
        <v>53</v>
      </c>
    </row>
    <row r="330" spans="1:16" x14ac:dyDescent="0.2">
      <c r="A330">
        <v>329</v>
      </c>
      <c r="B330" s="2">
        <v>44975</v>
      </c>
      <c r="C330" t="s">
        <v>18</v>
      </c>
      <c r="D330" t="s">
        <v>19</v>
      </c>
      <c r="E330" t="s">
        <v>14</v>
      </c>
      <c r="F330">
        <v>23</v>
      </c>
      <c r="G330">
        <v>7319</v>
      </c>
      <c r="H330">
        <v>13</v>
      </c>
      <c r="I330">
        <v>4</v>
      </c>
      <c r="J330" t="s">
        <v>15</v>
      </c>
      <c r="K330" t="s">
        <v>16</v>
      </c>
      <c r="L330" t="s">
        <v>25</v>
      </c>
      <c r="M330">
        <v>87828</v>
      </c>
      <c r="N330" t="s">
        <v>45</v>
      </c>
      <c r="O330" t="s">
        <v>52</v>
      </c>
      <c r="P330" t="s">
        <v>53</v>
      </c>
    </row>
    <row r="331" spans="1:16" x14ac:dyDescent="0.2">
      <c r="A331">
        <v>330</v>
      </c>
      <c r="B331" s="2">
        <v>44205</v>
      </c>
      <c r="C331" t="s">
        <v>18</v>
      </c>
      <c r="D331" t="s">
        <v>19</v>
      </c>
      <c r="E331" t="s">
        <v>14</v>
      </c>
      <c r="F331">
        <v>27</v>
      </c>
      <c r="G331">
        <v>17999</v>
      </c>
      <c r="H331">
        <v>13</v>
      </c>
      <c r="I331">
        <v>1</v>
      </c>
      <c r="J331" t="s">
        <v>15</v>
      </c>
      <c r="K331" t="s">
        <v>27</v>
      </c>
      <c r="L331" t="s">
        <v>25</v>
      </c>
      <c r="M331">
        <v>215988</v>
      </c>
      <c r="N331" t="s">
        <v>45</v>
      </c>
      <c r="O331" t="s">
        <v>52</v>
      </c>
      <c r="P331" t="s">
        <v>51</v>
      </c>
    </row>
    <row r="332" spans="1:16" x14ac:dyDescent="0.2">
      <c r="A332">
        <v>331</v>
      </c>
      <c r="B332" s="2">
        <v>41952</v>
      </c>
      <c r="C332" t="s">
        <v>28</v>
      </c>
      <c r="D332" t="s">
        <v>33</v>
      </c>
      <c r="E332" t="s">
        <v>24</v>
      </c>
      <c r="F332">
        <v>40</v>
      </c>
      <c r="G332">
        <v>7374</v>
      </c>
      <c r="H332">
        <v>5</v>
      </c>
      <c r="I332">
        <v>4</v>
      </c>
      <c r="J332" t="s">
        <v>15</v>
      </c>
      <c r="K332" t="s">
        <v>16</v>
      </c>
      <c r="L332" t="s">
        <v>21</v>
      </c>
      <c r="M332">
        <v>88488</v>
      </c>
      <c r="N332" t="s">
        <v>46</v>
      </c>
      <c r="O332" t="s">
        <v>50</v>
      </c>
      <c r="P332" t="s">
        <v>53</v>
      </c>
    </row>
    <row r="333" spans="1:16" x14ac:dyDescent="0.2">
      <c r="A333">
        <v>332</v>
      </c>
      <c r="B333" s="2">
        <v>41398</v>
      </c>
      <c r="C333" t="s">
        <v>22</v>
      </c>
      <c r="D333" t="s">
        <v>23</v>
      </c>
      <c r="E333" t="s">
        <v>24</v>
      </c>
      <c r="F333">
        <v>52</v>
      </c>
      <c r="G333">
        <v>12475</v>
      </c>
      <c r="H333">
        <v>7</v>
      </c>
      <c r="I333">
        <v>2</v>
      </c>
      <c r="J333" t="s">
        <v>20</v>
      </c>
      <c r="K333" t="s">
        <v>27</v>
      </c>
      <c r="L333" t="s">
        <v>25</v>
      </c>
      <c r="M333">
        <v>149700</v>
      </c>
      <c r="N333" t="s">
        <v>47</v>
      </c>
      <c r="O333" t="s">
        <v>50</v>
      </c>
      <c r="P333" t="s">
        <v>51</v>
      </c>
    </row>
    <row r="334" spans="1:16" x14ac:dyDescent="0.2">
      <c r="A334">
        <v>333</v>
      </c>
      <c r="B334" s="2">
        <v>40906</v>
      </c>
      <c r="C334" t="s">
        <v>36</v>
      </c>
      <c r="D334" t="s">
        <v>37</v>
      </c>
      <c r="E334" t="s">
        <v>14</v>
      </c>
      <c r="F334">
        <v>33</v>
      </c>
      <c r="G334">
        <v>15917</v>
      </c>
      <c r="H334">
        <v>15</v>
      </c>
      <c r="I334">
        <v>5</v>
      </c>
      <c r="J334" t="s">
        <v>20</v>
      </c>
      <c r="K334" t="s">
        <v>32</v>
      </c>
      <c r="L334" t="s">
        <v>17</v>
      </c>
      <c r="M334">
        <v>191004</v>
      </c>
      <c r="N334" t="s">
        <v>46</v>
      </c>
      <c r="O334" t="s">
        <v>52</v>
      </c>
      <c r="P334" t="s">
        <v>53</v>
      </c>
    </row>
    <row r="335" spans="1:16" x14ac:dyDescent="0.2">
      <c r="A335">
        <v>334</v>
      </c>
      <c r="B335" s="2">
        <v>43076</v>
      </c>
      <c r="C335" t="s">
        <v>22</v>
      </c>
      <c r="D335" t="s">
        <v>35</v>
      </c>
      <c r="E335" t="s">
        <v>24</v>
      </c>
      <c r="F335">
        <v>36</v>
      </c>
      <c r="G335">
        <v>7773</v>
      </c>
      <c r="H335">
        <v>11</v>
      </c>
      <c r="I335">
        <v>1</v>
      </c>
      <c r="J335" t="s">
        <v>20</v>
      </c>
      <c r="K335" t="s">
        <v>16</v>
      </c>
      <c r="L335" t="s">
        <v>34</v>
      </c>
      <c r="M335">
        <v>93276</v>
      </c>
      <c r="N335" t="s">
        <v>46</v>
      </c>
      <c r="O335" t="s">
        <v>52</v>
      </c>
      <c r="P335" t="s">
        <v>51</v>
      </c>
    </row>
    <row r="336" spans="1:16" x14ac:dyDescent="0.2">
      <c r="A336">
        <v>335</v>
      </c>
      <c r="B336" s="2">
        <v>44494</v>
      </c>
      <c r="C336" t="s">
        <v>12</v>
      </c>
      <c r="D336" t="s">
        <v>41</v>
      </c>
      <c r="E336" t="s">
        <v>14</v>
      </c>
      <c r="F336">
        <v>55</v>
      </c>
      <c r="G336">
        <v>8671</v>
      </c>
      <c r="H336">
        <v>0</v>
      </c>
      <c r="I336">
        <v>1</v>
      </c>
      <c r="J336" t="s">
        <v>15</v>
      </c>
      <c r="K336" t="s">
        <v>27</v>
      </c>
      <c r="L336" t="s">
        <v>21</v>
      </c>
      <c r="M336">
        <v>104052</v>
      </c>
      <c r="N336" t="s">
        <v>47</v>
      </c>
      <c r="O336" t="s">
        <v>54</v>
      </c>
      <c r="P336" t="s">
        <v>51</v>
      </c>
    </row>
    <row r="337" spans="1:16" x14ac:dyDescent="0.2">
      <c r="A337">
        <v>336</v>
      </c>
      <c r="B337" s="2">
        <v>42909</v>
      </c>
      <c r="C337" t="s">
        <v>18</v>
      </c>
      <c r="D337" t="s">
        <v>26</v>
      </c>
      <c r="E337" t="s">
        <v>24</v>
      </c>
      <c r="F337">
        <v>22</v>
      </c>
      <c r="G337">
        <v>18859</v>
      </c>
      <c r="H337">
        <v>9</v>
      </c>
      <c r="I337">
        <v>3</v>
      </c>
      <c r="J337" t="s">
        <v>15</v>
      </c>
      <c r="K337" t="s">
        <v>16</v>
      </c>
      <c r="L337" t="s">
        <v>34</v>
      </c>
      <c r="M337">
        <v>226308</v>
      </c>
      <c r="N337" t="s">
        <v>45</v>
      </c>
      <c r="O337" t="s">
        <v>52</v>
      </c>
      <c r="P337" t="s">
        <v>55</v>
      </c>
    </row>
    <row r="338" spans="1:16" x14ac:dyDescent="0.2">
      <c r="A338">
        <v>337</v>
      </c>
      <c r="B338" s="2">
        <v>40261</v>
      </c>
      <c r="C338" t="s">
        <v>12</v>
      </c>
      <c r="D338" t="s">
        <v>13</v>
      </c>
      <c r="E338" t="s">
        <v>14</v>
      </c>
      <c r="F338">
        <v>27</v>
      </c>
      <c r="G338">
        <v>7787</v>
      </c>
      <c r="H338">
        <v>8</v>
      </c>
      <c r="I338">
        <v>2</v>
      </c>
      <c r="J338" t="s">
        <v>20</v>
      </c>
      <c r="K338" t="s">
        <v>16</v>
      </c>
      <c r="L338" t="s">
        <v>17</v>
      </c>
      <c r="M338">
        <v>93444</v>
      </c>
      <c r="N338" t="s">
        <v>45</v>
      </c>
      <c r="O338" t="s">
        <v>52</v>
      </c>
      <c r="P338" t="s">
        <v>51</v>
      </c>
    </row>
    <row r="339" spans="1:16" x14ac:dyDescent="0.2">
      <c r="A339">
        <v>338</v>
      </c>
      <c r="B339" s="2">
        <v>43620</v>
      </c>
      <c r="C339" t="s">
        <v>30</v>
      </c>
      <c r="D339" t="s">
        <v>38</v>
      </c>
      <c r="E339" t="s">
        <v>14</v>
      </c>
      <c r="F339">
        <v>43</v>
      </c>
      <c r="G339">
        <v>15389</v>
      </c>
      <c r="H339">
        <v>14</v>
      </c>
      <c r="I339">
        <v>1</v>
      </c>
      <c r="J339" t="s">
        <v>20</v>
      </c>
      <c r="K339" t="s">
        <v>32</v>
      </c>
      <c r="L339" t="s">
        <v>34</v>
      </c>
      <c r="M339">
        <v>184668</v>
      </c>
      <c r="N339" t="s">
        <v>46</v>
      </c>
      <c r="O339" t="s">
        <v>52</v>
      </c>
      <c r="P339" t="s">
        <v>51</v>
      </c>
    </row>
    <row r="340" spans="1:16" x14ac:dyDescent="0.2">
      <c r="A340">
        <v>339</v>
      </c>
      <c r="B340" s="2">
        <v>42521</v>
      </c>
      <c r="C340" t="s">
        <v>18</v>
      </c>
      <c r="D340" t="s">
        <v>26</v>
      </c>
      <c r="E340" t="s">
        <v>14</v>
      </c>
      <c r="F340">
        <v>38</v>
      </c>
      <c r="G340">
        <v>19094</v>
      </c>
      <c r="H340">
        <v>12</v>
      </c>
      <c r="I340">
        <v>3</v>
      </c>
      <c r="J340" t="s">
        <v>15</v>
      </c>
      <c r="K340" t="s">
        <v>32</v>
      </c>
      <c r="L340" t="s">
        <v>34</v>
      </c>
      <c r="M340">
        <v>229128</v>
      </c>
      <c r="N340" t="s">
        <v>46</v>
      </c>
      <c r="O340" t="s">
        <v>52</v>
      </c>
      <c r="P340" t="s">
        <v>55</v>
      </c>
    </row>
    <row r="341" spans="1:16" x14ac:dyDescent="0.2">
      <c r="A341">
        <v>340</v>
      </c>
      <c r="B341" s="2">
        <v>43658</v>
      </c>
      <c r="C341" t="s">
        <v>30</v>
      </c>
      <c r="D341" t="s">
        <v>31</v>
      </c>
      <c r="E341" t="s">
        <v>14</v>
      </c>
      <c r="F341">
        <v>38</v>
      </c>
      <c r="G341">
        <v>15552</v>
      </c>
      <c r="H341">
        <v>3</v>
      </c>
      <c r="I341">
        <v>1</v>
      </c>
      <c r="J341" t="s">
        <v>20</v>
      </c>
      <c r="K341" t="s">
        <v>16</v>
      </c>
      <c r="L341" t="s">
        <v>21</v>
      </c>
      <c r="M341">
        <v>186624</v>
      </c>
      <c r="N341" t="s">
        <v>46</v>
      </c>
      <c r="O341" t="s">
        <v>50</v>
      </c>
      <c r="P341" t="s">
        <v>51</v>
      </c>
    </row>
    <row r="342" spans="1:16" x14ac:dyDescent="0.2">
      <c r="A342">
        <v>341</v>
      </c>
      <c r="B342" s="2">
        <v>42356</v>
      </c>
      <c r="C342" t="s">
        <v>18</v>
      </c>
      <c r="D342" t="s">
        <v>19</v>
      </c>
      <c r="E342" t="s">
        <v>14</v>
      </c>
      <c r="F342">
        <v>26</v>
      </c>
      <c r="G342">
        <v>11851</v>
      </c>
      <c r="H342">
        <v>7</v>
      </c>
      <c r="I342">
        <v>1</v>
      </c>
      <c r="J342" t="s">
        <v>20</v>
      </c>
      <c r="K342" t="s">
        <v>32</v>
      </c>
      <c r="L342" t="s">
        <v>34</v>
      </c>
      <c r="M342">
        <v>142212</v>
      </c>
      <c r="N342" t="s">
        <v>45</v>
      </c>
      <c r="O342" t="s">
        <v>50</v>
      </c>
      <c r="P342" t="s">
        <v>51</v>
      </c>
    </row>
    <row r="343" spans="1:16" x14ac:dyDescent="0.2">
      <c r="A343">
        <v>342</v>
      </c>
      <c r="B343" s="2">
        <v>40989</v>
      </c>
      <c r="C343" t="s">
        <v>18</v>
      </c>
      <c r="D343" t="s">
        <v>19</v>
      </c>
      <c r="E343" t="s">
        <v>14</v>
      </c>
      <c r="F343">
        <v>31</v>
      </c>
      <c r="G343">
        <v>14923</v>
      </c>
      <c r="H343">
        <v>11</v>
      </c>
      <c r="I343">
        <v>2</v>
      </c>
      <c r="J343" t="s">
        <v>20</v>
      </c>
      <c r="K343" t="s">
        <v>16</v>
      </c>
      <c r="L343" t="s">
        <v>17</v>
      </c>
      <c r="M343">
        <v>179076</v>
      </c>
      <c r="N343" t="s">
        <v>46</v>
      </c>
      <c r="O343" t="s">
        <v>52</v>
      </c>
      <c r="P343" t="s">
        <v>51</v>
      </c>
    </row>
    <row r="344" spans="1:16" x14ac:dyDescent="0.2">
      <c r="A344">
        <v>343</v>
      </c>
      <c r="B344" s="2">
        <v>44735</v>
      </c>
      <c r="C344" t="s">
        <v>30</v>
      </c>
      <c r="D344" t="s">
        <v>31</v>
      </c>
      <c r="E344" t="s">
        <v>24</v>
      </c>
      <c r="F344">
        <v>60</v>
      </c>
      <c r="G344">
        <v>4932</v>
      </c>
      <c r="H344">
        <v>8</v>
      </c>
      <c r="I344">
        <v>4</v>
      </c>
      <c r="J344" t="s">
        <v>15</v>
      </c>
      <c r="K344" t="s">
        <v>16</v>
      </c>
      <c r="L344" t="s">
        <v>17</v>
      </c>
      <c r="M344">
        <v>59184</v>
      </c>
      <c r="N344" t="s">
        <v>47</v>
      </c>
      <c r="O344" t="s">
        <v>52</v>
      </c>
      <c r="P344" t="s">
        <v>53</v>
      </c>
    </row>
    <row r="345" spans="1:16" x14ac:dyDescent="0.2">
      <c r="A345">
        <v>344</v>
      </c>
      <c r="B345" s="2">
        <v>44236</v>
      </c>
      <c r="C345" t="s">
        <v>30</v>
      </c>
      <c r="D345" t="s">
        <v>38</v>
      </c>
      <c r="E345" t="s">
        <v>24</v>
      </c>
      <c r="F345">
        <v>59</v>
      </c>
      <c r="G345">
        <v>11961</v>
      </c>
      <c r="H345">
        <v>1</v>
      </c>
      <c r="I345">
        <v>3</v>
      </c>
      <c r="J345" t="s">
        <v>20</v>
      </c>
      <c r="K345" t="s">
        <v>32</v>
      </c>
      <c r="L345" t="s">
        <v>39</v>
      </c>
      <c r="M345">
        <v>143532</v>
      </c>
      <c r="N345" t="s">
        <v>47</v>
      </c>
      <c r="O345" t="s">
        <v>54</v>
      </c>
      <c r="P345" t="s">
        <v>55</v>
      </c>
    </row>
    <row r="346" spans="1:16" x14ac:dyDescent="0.2">
      <c r="A346">
        <v>345</v>
      </c>
      <c r="B346" s="2">
        <v>41535</v>
      </c>
      <c r="C346" t="s">
        <v>18</v>
      </c>
      <c r="D346" t="s">
        <v>26</v>
      </c>
      <c r="E346" t="s">
        <v>14</v>
      </c>
      <c r="F346">
        <v>40</v>
      </c>
      <c r="G346">
        <v>8911</v>
      </c>
      <c r="H346">
        <v>6</v>
      </c>
      <c r="I346">
        <v>1</v>
      </c>
      <c r="J346" t="s">
        <v>15</v>
      </c>
      <c r="K346" t="s">
        <v>32</v>
      </c>
      <c r="L346" t="s">
        <v>25</v>
      </c>
      <c r="M346">
        <v>106932</v>
      </c>
      <c r="N346" t="s">
        <v>46</v>
      </c>
      <c r="O346" t="s">
        <v>50</v>
      </c>
      <c r="P346" t="s">
        <v>51</v>
      </c>
    </row>
    <row r="347" spans="1:16" x14ac:dyDescent="0.2">
      <c r="A347">
        <v>346</v>
      </c>
      <c r="B347" s="2">
        <v>45043</v>
      </c>
      <c r="C347" t="s">
        <v>36</v>
      </c>
      <c r="D347" t="s">
        <v>40</v>
      </c>
      <c r="E347" t="s">
        <v>14</v>
      </c>
      <c r="F347">
        <v>45</v>
      </c>
      <c r="G347">
        <v>9678</v>
      </c>
      <c r="H347">
        <v>8</v>
      </c>
      <c r="I347">
        <v>1</v>
      </c>
      <c r="J347" t="s">
        <v>15</v>
      </c>
      <c r="K347" t="s">
        <v>27</v>
      </c>
      <c r="L347" t="s">
        <v>21</v>
      </c>
      <c r="M347">
        <v>116136</v>
      </c>
      <c r="N347" t="s">
        <v>46</v>
      </c>
      <c r="O347" t="s">
        <v>52</v>
      </c>
      <c r="P347" t="s">
        <v>51</v>
      </c>
    </row>
    <row r="348" spans="1:16" x14ac:dyDescent="0.2">
      <c r="A348">
        <v>347</v>
      </c>
      <c r="B348" s="2">
        <v>43464</v>
      </c>
      <c r="C348" t="s">
        <v>18</v>
      </c>
      <c r="D348" t="s">
        <v>19</v>
      </c>
      <c r="E348" t="s">
        <v>14</v>
      </c>
      <c r="F348">
        <v>24</v>
      </c>
      <c r="G348">
        <v>16436</v>
      </c>
      <c r="H348">
        <v>15</v>
      </c>
      <c r="I348">
        <v>3</v>
      </c>
      <c r="J348" t="s">
        <v>15</v>
      </c>
      <c r="K348" t="s">
        <v>16</v>
      </c>
      <c r="L348" t="s">
        <v>17</v>
      </c>
      <c r="M348">
        <v>197232</v>
      </c>
      <c r="N348" t="s">
        <v>45</v>
      </c>
      <c r="O348" t="s">
        <v>52</v>
      </c>
      <c r="P348" t="s">
        <v>55</v>
      </c>
    </row>
    <row r="349" spans="1:16" x14ac:dyDescent="0.2">
      <c r="A349">
        <v>348</v>
      </c>
      <c r="B349" s="2">
        <v>42092</v>
      </c>
      <c r="C349" t="s">
        <v>22</v>
      </c>
      <c r="D349" t="s">
        <v>23</v>
      </c>
      <c r="E349" t="s">
        <v>14</v>
      </c>
      <c r="F349">
        <v>23</v>
      </c>
      <c r="G349">
        <v>11451</v>
      </c>
      <c r="H349">
        <v>7</v>
      </c>
      <c r="I349">
        <v>4</v>
      </c>
      <c r="J349" t="s">
        <v>20</v>
      </c>
      <c r="K349" t="s">
        <v>32</v>
      </c>
      <c r="L349" t="s">
        <v>17</v>
      </c>
      <c r="M349">
        <v>137412</v>
      </c>
      <c r="N349" t="s">
        <v>45</v>
      </c>
      <c r="O349" t="s">
        <v>50</v>
      </c>
      <c r="P349" t="s">
        <v>53</v>
      </c>
    </row>
    <row r="350" spans="1:16" x14ac:dyDescent="0.2">
      <c r="A350">
        <v>349</v>
      </c>
      <c r="B350" s="2">
        <v>44540</v>
      </c>
      <c r="C350" t="s">
        <v>12</v>
      </c>
      <c r="D350" t="s">
        <v>13</v>
      </c>
      <c r="E350" t="s">
        <v>14</v>
      </c>
      <c r="F350">
        <v>23</v>
      </c>
      <c r="G350">
        <v>16005</v>
      </c>
      <c r="H350">
        <v>14</v>
      </c>
      <c r="I350">
        <v>4</v>
      </c>
      <c r="J350" t="s">
        <v>15</v>
      </c>
      <c r="K350" t="s">
        <v>27</v>
      </c>
      <c r="L350" t="s">
        <v>39</v>
      </c>
      <c r="M350">
        <v>192060</v>
      </c>
      <c r="N350" t="s">
        <v>45</v>
      </c>
      <c r="O350" t="s">
        <v>52</v>
      </c>
      <c r="P350" t="s">
        <v>53</v>
      </c>
    </row>
    <row r="351" spans="1:16" x14ac:dyDescent="0.2">
      <c r="A351">
        <v>350</v>
      </c>
      <c r="B351" s="2">
        <v>42616</v>
      </c>
      <c r="C351" t="s">
        <v>12</v>
      </c>
      <c r="D351" t="s">
        <v>41</v>
      </c>
      <c r="E351" t="s">
        <v>14</v>
      </c>
      <c r="F351">
        <v>44</v>
      </c>
      <c r="G351">
        <v>5785</v>
      </c>
      <c r="H351">
        <v>0</v>
      </c>
      <c r="I351">
        <v>3</v>
      </c>
      <c r="J351" t="s">
        <v>20</v>
      </c>
      <c r="K351" t="s">
        <v>27</v>
      </c>
      <c r="L351" t="s">
        <v>25</v>
      </c>
      <c r="M351">
        <v>69420</v>
      </c>
      <c r="N351" t="s">
        <v>46</v>
      </c>
      <c r="O351" t="s">
        <v>54</v>
      </c>
      <c r="P351" t="s">
        <v>55</v>
      </c>
    </row>
    <row r="352" spans="1:16" x14ac:dyDescent="0.2">
      <c r="A352">
        <v>351</v>
      </c>
      <c r="B352" s="2">
        <v>43416</v>
      </c>
      <c r="C352" t="s">
        <v>30</v>
      </c>
      <c r="D352" t="s">
        <v>38</v>
      </c>
      <c r="E352" t="s">
        <v>24</v>
      </c>
      <c r="F352">
        <v>51</v>
      </c>
      <c r="G352">
        <v>5962</v>
      </c>
      <c r="H352">
        <v>2</v>
      </c>
      <c r="I352">
        <v>3</v>
      </c>
      <c r="J352" t="s">
        <v>20</v>
      </c>
      <c r="K352" t="s">
        <v>32</v>
      </c>
      <c r="L352" t="s">
        <v>34</v>
      </c>
      <c r="M352">
        <v>71544</v>
      </c>
      <c r="N352" t="s">
        <v>47</v>
      </c>
      <c r="O352" t="s">
        <v>54</v>
      </c>
      <c r="P352" t="s">
        <v>55</v>
      </c>
    </row>
    <row r="353" spans="1:16" x14ac:dyDescent="0.2">
      <c r="A353">
        <v>352</v>
      </c>
      <c r="B353" s="2">
        <v>43549</v>
      </c>
      <c r="C353" t="s">
        <v>22</v>
      </c>
      <c r="D353" t="s">
        <v>23</v>
      </c>
      <c r="E353" t="s">
        <v>24</v>
      </c>
      <c r="F353">
        <v>55</v>
      </c>
      <c r="G353">
        <v>11268</v>
      </c>
      <c r="H353">
        <v>13</v>
      </c>
      <c r="I353">
        <v>5</v>
      </c>
      <c r="J353" t="s">
        <v>15</v>
      </c>
      <c r="K353" t="s">
        <v>16</v>
      </c>
      <c r="L353" t="s">
        <v>39</v>
      </c>
      <c r="M353">
        <v>135216</v>
      </c>
      <c r="N353" t="s">
        <v>47</v>
      </c>
      <c r="O353" t="s">
        <v>52</v>
      </c>
      <c r="P353" t="s">
        <v>53</v>
      </c>
    </row>
    <row r="354" spans="1:16" x14ac:dyDescent="0.2">
      <c r="A354">
        <v>353</v>
      </c>
      <c r="B354" s="2">
        <v>42584</v>
      </c>
      <c r="C354" t="s">
        <v>28</v>
      </c>
      <c r="D354" t="s">
        <v>29</v>
      </c>
      <c r="E354" t="s">
        <v>24</v>
      </c>
      <c r="F354">
        <v>51</v>
      </c>
      <c r="G354">
        <v>6741</v>
      </c>
      <c r="H354">
        <v>7</v>
      </c>
      <c r="I354">
        <v>5</v>
      </c>
      <c r="J354" t="s">
        <v>15</v>
      </c>
      <c r="K354" t="s">
        <v>27</v>
      </c>
      <c r="L354" t="s">
        <v>17</v>
      </c>
      <c r="M354">
        <v>80892</v>
      </c>
      <c r="N354" t="s">
        <v>47</v>
      </c>
      <c r="O354" t="s">
        <v>50</v>
      </c>
      <c r="P354" t="s">
        <v>53</v>
      </c>
    </row>
    <row r="355" spans="1:16" x14ac:dyDescent="0.2">
      <c r="A355">
        <v>354</v>
      </c>
      <c r="B355" s="2">
        <v>40912</v>
      </c>
      <c r="C355" t="s">
        <v>18</v>
      </c>
      <c r="D355" t="s">
        <v>26</v>
      </c>
      <c r="E355" t="s">
        <v>14</v>
      </c>
      <c r="F355">
        <v>57</v>
      </c>
      <c r="G355">
        <v>12858</v>
      </c>
      <c r="H355">
        <v>11</v>
      </c>
      <c r="I355">
        <v>2</v>
      </c>
      <c r="J355" t="s">
        <v>15</v>
      </c>
      <c r="K355" t="s">
        <v>27</v>
      </c>
      <c r="L355" t="s">
        <v>34</v>
      </c>
      <c r="M355">
        <v>154296</v>
      </c>
      <c r="N355" t="s">
        <v>47</v>
      </c>
      <c r="O355" t="s">
        <v>52</v>
      </c>
      <c r="P355" t="s">
        <v>51</v>
      </c>
    </row>
    <row r="356" spans="1:16" x14ac:dyDescent="0.2">
      <c r="A356">
        <v>355</v>
      </c>
      <c r="B356" s="2">
        <v>43993</v>
      </c>
      <c r="C356" t="s">
        <v>18</v>
      </c>
      <c r="D356" t="s">
        <v>19</v>
      </c>
      <c r="E356" t="s">
        <v>24</v>
      </c>
      <c r="F356">
        <v>56</v>
      </c>
      <c r="G356">
        <v>17219</v>
      </c>
      <c r="H356">
        <v>10</v>
      </c>
      <c r="I356">
        <v>2</v>
      </c>
      <c r="J356" t="s">
        <v>20</v>
      </c>
      <c r="K356" t="s">
        <v>27</v>
      </c>
      <c r="L356" t="s">
        <v>34</v>
      </c>
      <c r="M356">
        <v>206628</v>
      </c>
      <c r="N356" t="s">
        <v>47</v>
      </c>
      <c r="O356" t="s">
        <v>52</v>
      </c>
      <c r="P356" t="s">
        <v>51</v>
      </c>
    </row>
    <row r="357" spans="1:16" x14ac:dyDescent="0.2">
      <c r="A357">
        <v>356</v>
      </c>
      <c r="B357" s="2">
        <v>42707</v>
      </c>
      <c r="C357" t="s">
        <v>18</v>
      </c>
      <c r="D357" t="s">
        <v>26</v>
      </c>
      <c r="E357" t="s">
        <v>24</v>
      </c>
      <c r="F357">
        <v>43</v>
      </c>
      <c r="G357">
        <v>18288</v>
      </c>
      <c r="H357">
        <v>7</v>
      </c>
      <c r="I357">
        <v>1</v>
      </c>
      <c r="J357" t="s">
        <v>15</v>
      </c>
      <c r="K357" t="s">
        <v>27</v>
      </c>
      <c r="L357" t="s">
        <v>34</v>
      </c>
      <c r="M357">
        <v>219456</v>
      </c>
      <c r="N357" t="s">
        <v>46</v>
      </c>
      <c r="O357" t="s">
        <v>50</v>
      </c>
      <c r="P357" t="s">
        <v>51</v>
      </c>
    </row>
    <row r="358" spans="1:16" x14ac:dyDescent="0.2">
      <c r="A358">
        <v>357</v>
      </c>
      <c r="B358" s="2">
        <v>42340</v>
      </c>
      <c r="C358" t="s">
        <v>28</v>
      </c>
      <c r="D358" t="s">
        <v>33</v>
      </c>
      <c r="E358" t="s">
        <v>14</v>
      </c>
      <c r="F358">
        <v>36</v>
      </c>
      <c r="G358">
        <v>12252</v>
      </c>
      <c r="H358">
        <v>4</v>
      </c>
      <c r="I358">
        <v>5</v>
      </c>
      <c r="J358" t="s">
        <v>20</v>
      </c>
      <c r="K358" t="s">
        <v>27</v>
      </c>
      <c r="L358" t="s">
        <v>25</v>
      </c>
      <c r="M358">
        <v>147024</v>
      </c>
      <c r="N358" t="s">
        <v>46</v>
      </c>
      <c r="O358" t="s">
        <v>50</v>
      </c>
      <c r="P358" t="s">
        <v>53</v>
      </c>
    </row>
    <row r="359" spans="1:16" x14ac:dyDescent="0.2">
      <c r="A359">
        <v>358</v>
      </c>
      <c r="B359" s="2">
        <v>42050</v>
      </c>
      <c r="C359" t="s">
        <v>30</v>
      </c>
      <c r="D359" t="s">
        <v>38</v>
      </c>
      <c r="E359" t="s">
        <v>24</v>
      </c>
      <c r="F359">
        <v>44</v>
      </c>
      <c r="G359">
        <v>9473</v>
      </c>
      <c r="H359">
        <v>3</v>
      </c>
      <c r="I359">
        <v>2</v>
      </c>
      <c r="J359" t="s">
        <v>15</v>
      </c>
      <c r="K359" t="s">
        <v>16</v>
      </c>
      <c r="L359" t="s">
        <v>21</v>
      </c>
      <c r="M359">
        <v>113676</v>
      </c>
      <c r="N359" t="s">
        <v>46</v>
      </c>
      <c r="O359" t="s">
        <v>50</v>
      </c>
      <c r="P359" t="s">
        <v>51</v>
      </c>
    </row>
    <row r="360" spans="1:16" x14ac:dyDescent="0.2">
      <c r="A360">
        <v>359</v>
      </c>
      <c r="B360" s="2">
        <v>44365</v>
      </c>
      <c r="C360" t="s">
        <v>12</v>
      </c>
      <c r="D360" t="s">
        <v>13</v>
      </c>
      <c r="E360" t="s">
        <v>14</v>
      </c>
      <c r="F360">
        <v>47</v>
      </c>
      <c r="G360">
        <v>16880</v>
      </c>
      <c r="H360">
        <v>2</v>
      </c>
      <c r="I360">
        <v>4</v>
      </c>
      <c r="J360" t="s">
        <v>20</v>
      </c>
      <c r="K360" t="s">
        <v>27</v>
      </c>
      <c r="L360" t="s">
        <v>17</v>
      </c>
      <c r="M360">
        <v>202560</v>
      </c>
      <c r="N360" t="s">
        <v>47</v>
      </c>
      <c r="O360" t="s">
        <v>54</v>
      </c>
      <c r="P360" t="s">
        <v>53</v>
      </c>
    </row>
    <row r="361" spans="1:16" x14ac:dyDescent="0.2">
      <c r="A361">
        <v>360</v>
      </c>
      <c r="B361" s="2">
        <v>43294</v>
      </c>
      <c r="C361" t="s">
        <v>28</v>
      </c>
      <c r="D361" t="s">
        <v>29</v>
      </c>
      <c r="E361" t="s">
        <v>14</v>
      </c>
      <c r="F361">
        <v>60</v>
      </c>
      <c r="G361">
        <v>10017</v>
      </c>
      <c r="H361">
        <v>4</v>
      </c>
      <c r="I361">
        <v>4</v>
      </c>
      <c r="J361" t="s">
        <v>20</v>
      </c>
      <c r="K361" t="s">
        <v>16</v>
      </c>
      <c r="L361" t="s">
        <v>25</v>
      </c>
      <c r="M361">
        <v>120204</v>
      </c>
      <c r="N361" t="s">
        <v>47</v>
      </c>
      <c r="O361" t="s">
        <v>50</v>
      </c>
      <c r="P361" t="s">
        <v>53</v>
      </c>
    </row>
    <row r="362" spans="1:16" x14ac:dyDescent="0.2">
      <c r="A362">
        <v>361</v>
      </c>
      <c r="B362" s="2">
        <v>43224</v>
      </c>
      <c r="C362" t="s">
        <v>12</v>
      </c>
      <c r="D362" t="s">
        <v>41</v>
      </c>
      <c r="E362" t="s">
        <v>24</v>
      </c>
      <c r="F362">
        <v>34</v>
      </c>
      <c r="G362">
        <v>11575</v>
      </c>
      <c r="H362">
        <v>8</v>
      </c>
      <c r="I362">
        <v>5</v>
      </c>
      <c r="J362" t="s">
        <v>15</v>
      </c>
      <c r="K362" t="s">
        <v>16</v>
      </c>
      <c r="L362" t="s">
        <v>39</v>
      </c>
      <c r="M362">
        <v>138900</v>
      </c>
      <c r="N362" t="s">
        <v>46</v>
      </c>
      <c r="O362" t="s">
        <v>52</v>
      </c>
      <c r="P362" t="s">
        <v>53</v>
      </c>
    </row>
    <row r="363" spans="1:16" x14ac:dyDescent="0.2">
      <c r="A363">
        <v>362</v>
      </c>
      <c r="B363" s="2">
        <v>45149</v>
      </c>
      <c r="C363" t="s">
        <v>12</v>
      </c>
      <c r="D363" t="s">
        <v>13</v>
      </c>
      <c r="E363" t="s">
        <v>24</v>
      </c>
      <c r="F363">
        <v>53</v>
      </c>
      <c r="G363">
        <v>18079</v>
      </c>
      <c r="H363">
        <v>14</v>
      </c>
      <c r="I363">
        <v>2</v>
      </c>
      <c r="J363" t="s">
        <v>20</v>
      </c>
      <c r="K363" t="s">
        <v>16</v>
      </c>
      <c r="L363" t="s">
        <v>17</v>
      </c>
      <c r="M363">
        <v>216948</v>
      </c>
      <c r="N363" t="s">
        <v>47</v>
      </c>
      <c r="O363" t="s">
        <v>52</v>
      </c>
      <c r="P363" t="s">
        <v>51</v>
      </c>
    </row>
    <row r="364" spans="1:16" x14ac:dyDescent="0.2">
      <c r="A364">
        <v>363</v>
      </c>
      <c r="B364" s="2">
        <v>43287</v>
      </c>
      <c r="C364" t="s">
        <v>12</v>
      </c>
      <c r="D364" t="s">
        <v>41</v>
      </c>
      <c r="E364" t="s">
        <v>14</v>
      </c>
      <c r="F364">
        <v>37</v>
      </c>
      <c r="G364">
        <v>7996</v>
      </c>
      <c r="H364">
        <v>5</v>
      </c>
      <c r="I364">
        <v>4</v>
      </c>
      <c r="J364" t="s">
        <v>15</v>
      </c>
      <c r="K364" t="s">
        <v>16</v>
      </c>
      <c r="L364" t="s">
        <v>34</v>
      </c>
      <c r="M364">
        <v>95952</v>
      </c>
      <c r="N364" t="s">
        <v>46</v>
      </c>
      <c r="O364" t="s">
        <v>50</v>
      </c>
      <c r="P364" t="s">
        <v>53</v>
      </c>
    </row>
    <row r="365" spans="1:16" x14ac:dyDescent="0.2">
      <c r="A365">
        <v>364</v>
      </c>
      <c r="B365" s="2">
        <v>40970</v>
      </c>
      <c r="C365" t="s">
        <v>36</v>
      </c>
      <c r="D365" t="s">
        <v>42</v>
      </c>
      <c r="E365" t="s">
        <v>14</v>
      </c>
      <c r="F365">
        <v>30</v>
      </c>
      <c r="G365">
        <v>18907</v>
      </c>
      <c r="H365">
        <v>9</v>
      </c>
      <c r="I365">
        <v>4</v>
      </c>
      <c r="J365" t="s">
        <v>15</v>
      </c>
      <c r="K365" t="s">
        <v>27</v>
      </c>
      <c r="L365" t="s">
        <v>34</v>
      </c>
      <c r="M365">
        <v>226884</v>
      </c>
      <c r="N365" t="s">
        <v>46</v>
      </c>
      <c r="O365" t="s">
        <v>52</v>
      </c>
      <c r="P365" t="s">
        <v>53</v>
      </c>
    </row>
    <row r="366" spans="1:16" x14ac:dyDescent="0.2">
      <c r="A366">
        <v>365</v>
      </c>
      <c r="B366" s="2">
        <v>44174</v>
      </c>
      <c r="C366" t="s">
        <v>22</v>
      </c>
      <c r="D366" t="s">
        <v>35</v>
      </c>
      <c r="E366" t="s">
        <v>14</v>
      </c>
      <c r="F366">
        <v>49</v>
      </c>
      <c r="G366">
        <v>16164</v>
      </c>
      <c r="H366">
        <v>2</v>
      </c>
      <c r="I366">
        <v>2</v>
      </c>
      <c r="J366" t="s">
        <v>15</v>
      </c>
      <c r="K366" t="s">
        <v>27</v>
      </c>
      <c r="L366" t="s">
        <v>34</v>
      </c>
      <c r="M366">
        <v>193968</v>
      </c>
      <c r="N366" t="s">
        <v>47</v>
      </c>
      <c r="O366" t="s">
        <v>54</v>
      </c>
      <c r="P366" t="s">
        <v>51</v>
      </c>
    </row>
    <row r="367" spans="1:16" x14ac:dyDescent="0.2">
      <c r="A367">
        <v>366</v>
      </c>
      <c r="B367" s="2">
        <v>42899</v>
      </c>
      <c r="C367" t="s">
        <v>36</v>
      </c>
      <c r="D367" t="s">
        <v>42</v>
      </c>
      <c r="E367" t="s">
        <v>14</v>
      </c>
      <c r="F367">
        <v>38</v>
      </c>
      <c r="G367">
        <v>16937</v>
      </c>
      <c r="H367">
        <v>13</v>
      </c>
      <c r="I367">
        <v>2</v>
      </c>
      <c r="J367" t="s">
        <v>15</v>
      </c>
      <c r="K367" t="s">
        <v>27</v>
      </c>
      <c r="L367" t="s">
        <v>25</v>
      </c>
      <c r="M367">
        <v>203244</v>
      </c>
      <c r="N367" t="s">
        <v>46</v>
      </c>
      <c r="O367" t="s">
        <v>52</v>
      </c>
      <c r="P367" t="s">
        <v>51</v>
      </c>
    </row>
    <row r="368" spans="1:16" x14ac:dyDescent="0.2">
      <c r="A368">
        <v>367</v>
      </c>
      <c r="B368" s="2">
        <v>45044</v>
      </c>
      <c r="C368" t="s">
        <v>28</v>
      </c>
      <c r="D368" t="s">
        <v>29</v>
      </c>
      <c r="E368" t="s">
        <v>24</v>
      </c>
      <c r="F368">
        <v>26</v>
      </c>
      <c r="G368">
        <v>10476</v>
      </c>
      <c r="H368">
        <v>6</v>
      </c>
      <c r="I368">
        <v>2</v>
      </c>
      <c r="J368" t="s">
        <v>15</v>
      </c>
      <c r="K368" t="s">
        <v>32</v>
      </c>
      <c r="L368" t="s">
        <v>17</v>
      </c>
      <c r="M368">
        <v>125712</v>
      </c>
      <c r="N368" t="s">
        <v>45</v>
      </c>
      <c r="O368" t="s">
        <v>50</v>
      </c>
      <c r="P368" t="s">
        <v>51</v>
      </c>
    </row>
    <row r="369" spans="1:16" x14ac:dyDescent="0.2">
      <c r="A369">
        <v>368</v>
      </c>
      <c r="B369" s="2">
        <v>43892</v>
      </c>
      <c r="C369" t="s">
        <v>30</v>
      </c>
      <c r="D369" t="s">
        <v>38</v>
      </c>
      <c r="E369" t="s">
        <v>24</v>
      </c>
      <c r="F369">
        <v>47</v>
      </c>
      <c r="G369">
        <v>11914</v>
      </c>
      <c r="H369">
        <v>4</v>
      </c>
      <c r="I369">
        <v>5</v>
      </c>
      <c r="J369" t="s">
        <v>20</v>
      </c>
      <c r="K369" t="s">
        <v>27</v>
      </c>
      <c r="L369" t="s">
        <v>25</v>
      </c>
      <c r="M369">
        <v>142968</v>
      </c>
      <c r="N369" t="s">
        <v>47</v>
      </c>
      <c r="O369" t="s">
        <v>50</v>
      </c>
      <c r="P369" t="s">
        <v>53</v>
      </c>
    </row>
    <row r="370" spans="1:16" x14ac:dyDescent="0.2">
      <c r="A370">
        <v>369</v>
      </c>
      <c r="B370" s="2">
        <v>45145</v>
      </c>
      <c r="C370" t="s">
        <v>30</v>
      </c>
      <c r="D370" t="s">
        <v>31</v>
      </c>
      <c r="E370" t="s">
        <v>24</v>
      </c>
      <c r="F370">
        <v>60</v>
      </c>
      <c r="G370">
        <v>18701</v>
      </c>
      <c r="H370">
        <v>10</v>
      </c>
      <c r="I370">
        <v>5</v>
      </c>
      <c r="J370" t="s">
        <v>15</v>
      </c>
      <c r="K370" t="s">
        <v>16</v>
      </c>
      <c r="L370" t="s">
        <v>34</v>
      </c>
      <c r="M370">
        <v>224412</v>
      </c>
      <c r="N370" t="s">
        <v>47</v>
      </c>
      <c r="O370" t="s">
        <v>52</v>
      </c>
      <c r="P370" t="s">
        <v>53</v>
      </c>
    </row>
    <row r="371" spans="1:16" x14ac:dyDescent="0.2">
      <c r="A371">
        <v>370</v>
      </c>
      <c r="B371" s="2">
        <v>40438</v>
      </c>
      <c r="C371" t="s">
        <v>18</v>
      </c>
      <c r="D371" t="s">
        <v>19</v>
      </c>
      <c r="E371" t="s">
        <v>24</v>
      </c>
      <c r="F371">
        <v>34</v>
      </c>
      <c r="G371">
        <v>7795</v>
      </c>
      <c r="H371">
        <v>0</v>
      </c>
      <c r="I371">
        <v>4</v>
      </c>
      <c r="J371" t="s">
        <v>20</v>
      </c>
      <c r="K371" t="s">
        <v>32</v>
      </c>
      <c r="L371" t="s">
        <v>21</v>
      </c>
      <c r="M371">
        <v>93540</v>
      </c>
      <c r="N371" t="s">
        <v>46</v>
      </c>
      <c r="O371" t="s">
        <v>54</v>
      </c>
      <c r="P371" t="s">
        <v>53</v>
      </c>
    </row>
    <row r="372" spans="1:16" x14ac:dyDescent="0.2">
      <c r="A372">
        <v>371</v>
      </c>
      <c r="B372" s="2">
        <v>43894</v>
      </c>
      <c r="C372" t="s">
        <v>28</v>
      </c>
      <c r="D372" t="s">
        <v>29</v>
      </c>
      <c r="E372" t="s">
        <v>14</v>
      </c>
      <c r="F372">
        <v>58</v>
      </c>
      <c r="G372">
        <v>4343</v>
      </c>
      <c r="H372">
        <v>7</v>
      </c>
      <c r="I372">
        <v>2</v>
      </c>
      <c r="J372" t="s">
        <v>20</v>
      </c>
      <c r="K372" t="s">
        <v>32</v>
      </c>
      <c r="L372" t="s">
        <v>17</v>
      </c>
      <c r="M372">
        <v>52116</v>
      </c>
      <c r="N372" t="s">
        <v>47</v>
      </c>
      <c r="O372" t="s">
        <v>50</v>
      </c>
      <c r="P372" t="s">
        <v>51</v>
      </c>
    </row>
    <row r="373" spans="1:16" x14ac:dyDescent="0.2">
      <c r="A373">
        <v>372</v>
      </c>
      <c r="B373" s="2">
        <v>43552</v>
      </c>
      <c r="C373" t="s">
        <v>22</v>
      </c>
      <c r="D373" t="s">
        <v>35</v>
      </c>
      <c r="E373" t="s">
        <v>24</v>
      </c>
      <c r="F373">
        <v>55</v>
      </c>
      <c r="G373">
        <v>18175</v>
      </c>
      <c r="H373">
        <v>14</v>
      </c>
      <c r="I373">
        <v>5</v>
      </c>
      <c r="J373" t="s">
        <v>15</v>
      </c>
      <c r="K373" t="s">
        <v>16</v>
      </c>
      <c r="L373" t="s">
        <v>17</v>
      </c>
      <c r="M373">
        <v>218100</v>
      </c>
      <c r="N373" t="s">
        <v>47</v>
      </c>
      <c r="O373" t="s">
        <v>52</v>
      </c>
      <c r="P373" t="s">
        <v>53</v>
      </c>
    </row>
    <row r="374" spans="1:16" x14ac:dyDescent="0.2">
      <c r="A374">
        <v>373</v>
      </c>
      <c r="B374" s="2">
        <v>42405</v>
      </c>
      <c r="C374" t="s">
        <v>22</v>
      </c>
      <c r="D374" t="s">
        <v>23</v>
      </c>
      <c r="E374" t="s">
        <v>14</v>
      </c>
      <c r="F374">
        <v>24</v>
      </c>
      <c r="G374">
        <v>11583</v>
      </c>
      <c r="H374">
        <v>9</v>
      </c>
      <c r="I374">
        <v>2</v>
      </c>
      <c r="J374" t="s">
        <v>15</v>
      </c>
      <c r="K374" t="s">
        <v>32</v>
      </c>
      <c r="L374" t="s">
        <v>34</v>
      </c>
      <c r="M374">
        <v>138996</v>
      </c>
      <c r="N374" t="s">
        <v>45</v>
      </c>
      <c r="O374" t="s">
        <v>52</v>
      </c>
      <c r="P374" t="s">
        <v>51</v>
      </c>
    </row>
    <row r="375" spans="1:16" x14ac:dyDescent="0.2">
      <c r="A375">
        <v>374</v>
      </c>
      <c r="B375" s="2">
        <v>42888</v>
      </c>
      <c r="C375" t="s">
        <v>30</v>
      </c>
      <c r="D375" t="s">
        <v>38</v>
      </c>
      <c r="E375" t="s">
        <v>24</v>
      </c>
      <c r="F375">
        <v>26</v>
      </c>
      <c r="G375">
        <v>5347</v>
      </c>
      <c r="H375">
        <v>10</v>
      </c>
      <c r="I375">
        <v>5</v>
      </c>
      <c r="J375" t="s">
        <v>20</v>
      </c>
      <c r="K375" t="s">
        <v>27</v>
      </c>
      <c r="L375" t="s">
        <v>39</v>
      </c>
      <c r="M375">
        <v>64164</v>
      </c>
      <c r="N375" t="s">
        <v>45</v>
      </c>
      <c r="O375" t="s">
        <v>52</v>
      </c>
      <c r="P375" t="s">
        <v>53</v>
      </c>
    </row>
    <row r="376" spans="1:16" x14ac:dyDescent="0.2">
      <c r="A376">
        <v>375</v>
      </c>
      <c r="B376" s="2">
        <v>44077</v>
      </c>
      <c r="C376" t="s">
        <v>30</v>
      </c>
      <c r="D376" t="s">
        <v>38</v>
      </c>
      <c r="E376" t="s">
        <v>24</v>
      </c>
      <c r="F376">
        <v>41</v>
      </c>
      <c r="G376">
        <v>14307</v>
      </c>
      <c r="H376">
        <v>1</v>
      </c>
      <c r="I376">
        <v>4</v>
      </c>
      <c r="J376" t="s">
        <v>20</v>
      </c>
      <c r="K376" t="s">
        <v>32</v>
      </c>
      <c r="L376" t="s">
        <v>34</v>
      </c>
      <c r="M376">
        <v>171684</v>
      </c>
      <c r="N376" t="s">
        <v>46</v>
      </c>
      <c r="O376" t="s">
        <v>54</v>
      </c>
      <c r="P376" t="s">
        <v>53</v>
      </c>
    </row>
    <row r="377" spans="1:16" x14ac:dyDescent="0.2">
      <c r="A377">
        <v>376</v>
      </c>
      <c r="B377" s="2">
        <v>43078</v>
      </c>
      <c r="C377" t="s">
        <v>28</v>
      </c>
      <c r="D377" t="s">
        <v>29</v>
      </c>
      <c r="E377" t="s">
        <v>14</v>
      </c>
      <c r="F377">
        <v>39</v>
      </c>
      <c r="G377">
        <v>14975</v>
      </c>
      <c r="H377">
        <v>1</v>
      </c>
      <c r="I377">
        <v>5</v>
      </c>
      <c r="J377" t="s">
        <v>20</v>
      </c>
      <c r="K377" t="s">
        <v>27</v>
      </c>
      <c r="L377" t="s">
        <v>21</v>
      </c>
      <c r="M377">
        <v>179700</v>
      </c>
      <c r="N377" t="s">
        <v>46</v>
      </c>
      <c r="O377" t="s">
        <v>54</v>
      </c>
      <c r="P377" t="s">
        <v>53</v>
      </c>
    </row>
    <row r="378" spans="1:16" x14ac:dyDescent="0.2">
      <c r="A378">
        <v>377</v>
      </c>
      <c r="B378" s="2">
        <v>40296</v>
      </c>
      <c r="C378" t="s">
        <v>12</v>
      </c>
      <c r="D378" t="s">
        <v>13</v>
      </c>
      <c r="E378" t="s">
        <v>24</v>
      </c>
      <c r="F378">
        <v>40</v>
      </c>
      <c r="G378">
        <v>13351</v>
      </c>
      <c r="H378">
        <v>15</v>
      </c>
      <c r="I378">
        <v>1</v>
      </c>
      <c r="J378" t="s">
        <v>15</v>
      </c>
      <c r="K378" t="s">
        <v>32</v>
      </c>
      <c r="L378" t="s">
        <v>34</v>
      </c>
      <c r="M378">
        <v>160212</v>
      </c>
      <c r="N378" t="s">
        <v>46</v>
      </c>
      <c r="O378" t="s">
        <v>52</v>
      </c>
      <c r="P378" t="s">
        <v>51</v>
      </c>
    </row>
    <row r="379" spans="1:16" x14ac:dyDescent="0.2">
      <c r="A379">
        <v>378</v>
      </c>
      <c r="B379" s="2">
        <v>41170</v>
      </c>
      <c r="C379" t="s">
        <v>30</v>
      </c>
      <c r="D379" t="s">
        <v>31</v>
      </c>
      <c r="E379" t="s">
        <v>24</v>
      </c>
      <c r="F379">
        <v>48</v>
      </c>
      <c r="G379">
        <v>19575</v>
      </c>
      <c r="H379">
        <v>7</v>
      </c>
      <c r="I379">
        <v>3</v>
      </c>
      <c r="J379" t="s">
        <v>15</v>
      </c>
      <c r="K379" t="s">
        <v>32</v>
      </c>
      <c r="L379" t="s">
        <v>21</v>
      </c>
      <c r="M379">
        <v>234900</v>
      </c>
      <c r="N379" t="s">
        <v>47</v>
      </c>
      <c r="O379" t="s">
        <v>50</v>
      </c>
      <c r="P379" t="s">
        <v>55</v>
      </c>
    </row>
    <row r="380" spans="1:16" x14ac:dyDescent="0.2">
      <c r="A380">
        <v>379</v>
      </c>
      <c r="B380" s="2">
        <v>43493</v>
      </c>
      <c r="C380" t="s">
        <v>36</v>
      </c>
      <c r="D380" t="s">
        <v>40</v>
      </c>
      <c r="E380" t="s">
        <v>24</v>
      </c>
      <c r="F380">
        <v>35</v>
      </c>
      <c r="G380">
        <v>10859</v>
      </c>
      <c r="H380">
        <v>4</v>
      </c>
      <c r="I380">
        <v>4</v>
      </c>
      <c r="J380" t="s">
        <v>15</v>
      </c>
      <c r="K380" t="s">
        <v>16</v>
      </c>
      <c r="L380" t="s">
        <v>21</v>
      </c>
      <c r="M380">
        <v>130308</v>
      </c>
      <c r="N380" t="s">
        <v>46</v>
      </c>
      <c r="O380" t="s">
        <v>50</v>
      </c>
      <c r="P380" t="s">
        <v>53</v>
      </c>
    </row>
    <row r="381" spans="1:16" x14ac:dyDescent="0.2">
      <c r="A381">
        <v>380</v>
      </c>
      <c r="B381" s="2">
        <v>44409</v>
      </c>
      <c r="C381" t="s">
        <v>18</v>
      </c>
      <c r="D381" t="s">
        <v>19</v>
      </c>
      <c r="E381" t="s">
        <v>14</v>
      </c>
      <c r="F381">
        <v>34</v>
      </c>
      <c r="G381">
        <v>9611</v>
      </c>
      <c r="H381">
        <v>9</v>
      </c>
      <c r="I381">
        <v>2</v>
      </c>
      <c r="J381" t="s">
        <v>20</v>
      </c>
      <c r="K381" t="s">
        <v>27</v>
      </c>
      <c r="L381" t="s">
        <v>21</v>
      </c>
      <c r="M381">
        <v>115332</v>
      </c>
      <c r="N381" t="s">
        <v>46</v>
      </c>
      <c r="O381" t="s">
        <v>52</v>
      </c>
      <c r="P381" t="s">
        <v>51</v>
      </c>
    </row>
    <row r="382" spans="1:16" x14ac:dyDescent="0.2">
      <c r="A382">
        <v>381</v>
      </c>
      <c r="B382" s="2">
        <v>40642</v>
      </c>
      <c r="C382" t="s">
        <v>28</v>
      </c>
      <c r="D382" t="s">
        <v>33</v>
      </c>
      <c r="E382" t="s">
        <v>24</v>
      </c>
      <c r="F382">
        <v>35</v>
      </c>
      <c r="G382">
        <v>18382</v>
      </c>
      <c r="H382">
        <v>4</v>
      </c>
      <c r="I382">
        <v>2</v>
      </c>
      <c r="J382" t="s">
        <v>15</v>
      </c>
      <c r="K382" t="s">
        <v>27</v>
      </c>
      <c r="L382" t="s">
        <v>17</v>
      </c>
      <c r="M382">
        <v>220584</v>
      </c>
      <c r="N382" t="s">
        <v>46</v>
      </c>
      <c r="O382" t="s">
        <v>50</v>
      </c>
      <c r="P382" t="s">
        <v>51</v>
      </c>
    </row>
    <row r="383" spans="1:16" x14ac:dyDescent="0.2">
      <c r="A383">
        <v>382</v>
      </c>
      <c r="B383" s="2">
        <v>40693</v>
      </c>
      <c r="C383" t="s">
        <v>12</v>
      </c>
      <c r="D383" t="s">
        <v>41</v>
      </c>
      <c r="E383" t="s">
        <v>24</v>
      </c>
      <c r="F383">
        <v>35</v>
      </c>
      <c r="G383">
        <v>9511</v>
      </c>
      <c r="H383">
        <v>5</v>
      </c>
      <c r="I383">
        <v>1</v>
      </c>
      <c r="J383" t="s">
        <v>15</v>
      </c>
      <c r="K383" t="s">
        <v>32</v>
      </c>
      <c r="L383" t="s">
        <v>21</v>
      </c>
      <c r="M383">
        <v>114132</v>
      </c>
      <c r="N383" t="s">
        <v>46</v>
      </c>
      <c r="O383" t="s">
        <v>50</v>
      </c>
      <c r="P383" t="s">
        <v>51</v>
      </c>
    </row>
    <row r="384" spans="1:16" x14ac:dyDescent="0.2">
      <c r="A384">
        <v>383</v>
      </c>
      <c r="B384" s="2">
        <v>42144</v>
      </c>
      <c r="C384" t="s">
        <v>30</v>
      </c>
      <c r="D384" t="s">
        <v>31</v>
      </c>
      <c r="E384" t="s">
        <v>24</v>
      </c>
      <c r="F384">
        <v>47</v>
      </c>
      <c r="G384">
        <v>17484</v>
      </c>
      <c r="H384">
        <v>1</v>
      </c>
      <c r="I384">
        <v>4</v>
      </c>
      <c r="J384" t="s">
        <v>15</v>
      </c>
      <c r="K384" t="s">
        <v>32</v>
      </c>
      <c r="L384" t="s">
        <v>17</v>
      </c>
      <c r="M384">
        <v>209808</v>
      </c>
      <c r="N384" t="s">
        <v>47</v>
      </c>
      <c r="O384" t="s">
        <v>54</v>
      </c>
      <c r="P384" t="s">
        <v>53</v>
      </c>
    </row>
    <row r="385" spans="1:16" x14ac:dyDescent="0.2">
      <c r="A385">
        <v>384</v>
      </c>
      <c r="B385" s="2">
        <v>42790</v>
      </c>
      <c r="C385" t="s">
        <v>12</v>
      </c>
      <c r="D385" t="s">
        <v>41</v>
      </c>
      <c r="E385" t="s">
        <v>14</v>
      </c>
      <c r="F385">
        <v>42</v>
      </c>
      <c r="G385">
        <v>11529</v>
      </c>
      <c r="H385">
        <v>2</v>
      </c>
      <c r="I385">
        <v>5</v>
      </c>
      <c r="J385" t="s">
        <v>15</v>
      </c>
      <c r="K385" t="s">
        <v>27</v>
      </c>
      <c r="L385" t="s">
        <v>25</v>
      </c>
      <c r="M385">
        <v>138348</v>
      </c>
      <c r="N385" t="s">
        <v>46</v>
      </c>
      <c r="O385" t="s">
        <v>54</v>
      </c>
      <c r="P385" t="s">
        <v>53</v>
      </c>
    </row>
    <row r="386" spans="1:16" x14ac:dyDescent="0.2">
      <c r="A386">
        <v>385</v>
      </c>
      <c r="B386" s="2">
        <v>40265</v>
      </c>
      <c r="C386" t="s">
        <v>12</v>
      </c>
      <c r="D386" t="s">
        <v>41</v>
      </c>
      <c r="E386" t="s">
        <v>14</v>
      </c>
      <c r="F386">
        <v>54</v>
      </c>
      <c r="G386">
        <v>18486</v>
      </c>
      <c r="H386">
        <v>0</v>
      </c>
      <c r="I386">
        <v>1</v>
      </c>
      <c r="J386" t="s">
        <v>15</v>
      </c>
      <c r="K386" t="s">
        <v>32</v>
      </c>
      <c r="L386" t="s">
        <v>21</v>
      </c>
      <c r="M386">
        <v>221832</v>
      </c>
      <c r="N386" t="s">
        <v>47</v>
      </c>
      <c r="O386" t="s">
        <v>54</v>
      </c>
      <c r="P386" t="s">
        <v>51</v>
      </c>
    </row>
    <row r="387" spans="1:16" x14ac:dyDescent="0.2">
      <c r="A387">
        <v>386</v>
      </c>
      <c r="B387" s="2">
        <v>44923</v>
      </c>
      <c r="C387" t="s">
        <v>18</v>
      </c>
      <c r="D387" t="s">
        <v>26</v>
      </c>
      <c r="E387" t="s">
        <v>14</v>
      </c>
      <c r="F387">
        <v>60</v>
      </c>
      <c r="G387">
        <v>11045</v>
      </c>
      <c r="H387">
        <v>12</v>
      </c>
      <c r="I387">
        <v>5</v>
      </c>
      <c r="J387" t="s">
        <v>15</v>
      </c>
      <c r="K387" t="s">
        <v>27</v>
      </c>
      <c r="L387" t="s">
        <v>34</v>
      </c>
      <c r="M387">
        <v>132540</v>
      </c>
      <c r="N387" t="s">
        <v>47</v>
      </c>
      <c r="O387" t="s">
        <v>52</v>
      </c>
      <c r="P387" t="s">
        <v>53</v>
      </c>
    </row>
    <row r="388" spans="1:16" x14ac:dyDescent="0.2">
      <c r="A388">
        <v>387</v>
      </c>
      <c r="B388" s="2">
        <v>44965</v>
      </c>
      <c r="C388" t="s">
        <v>18</v>
      </c>
      <c r="D388" t="s">
        <v>26</v>
      </c>
      <c r="E388" t="s">
        <v>14</v>
      </c>
      <c r="F388">
        <v>24</v>
      </c>
      <c r="G388">
        <v>7304</v>
      </c>
      <c r="H388">
        <v>15</v>
      </c>
      <c r="I388">
        <v>1</v>
      </c>
      <c r="J388" t="s">
        <v>20</v>
      </c>
      <c r="K388" t="s">
        <v>32</v>
      </c>
      <c r="L388" t="s">
        <v>39</v>
      </c>
      <c r="M388">
        <v>87648</v>
      </c>
      <c r="N388" t="s">
        <v>45</v>
      </c>
      <c r="O388" t="s">
        <v>52</v>
      </c>
      <c r="P388" t="s">
        <v>51</v>
      </c>
    </row>
    <row r="389" spans="1:16" x14ac:dyDescent="0.2">
      <c r="A389">
        <v>388</v>
      </c>
      <c r="B389" s="2">
        <v>43358</v>
      </c>
      <c r="C389" t="s">
        <v>30</v>
      </c>
      <c r="D389" t="s">
        <v>38</v>
      </c>
      <c r="E389" t="s">
        <v>24</v>
      </c>
      <c r="F389">
        <v>48</v>
      </c>
      <c r="G389">
        <v>10968</v>
      </c>
      <c r="H389">
        <v>0</v>
      </c>
      <c r="I389">
        <v>4</v>
      </c>
      <c r="J389" t="s">
        <v>15</v>
      </c>
      <c r="K389" t="s">
        <v>27</v>
      </c>
      <c r="L389" t="s">
        <v>39</v>
      </c>
      <c r="M389">
        <v>131616</v>
      </c>
      <c r="N389" t="s">
        <v>47</v>
      </c>
      <c r="O389" t="s">
        <v>54</v>
      </c>
      <c r="P389" t="s">
        <v>53</v>
      </c>
    </row>
    <row r="390" spans="1:16" x14ac:dyDescent="0.2">
      <c r="A390">
        <v>389</v>
      </c>
      <c r="B390" s="2">
        <v>40765</v>
      </c>
      <c r="C390" t="s">
        <v>22</v>
      </c>
      <c r="D390" t="s">
        <v>35</v>
      </c>
      <c r="E390" t="s">
        <v>24</v>
      </c>
      <c r="F390">
        <v>36</v>
      </c>
      <c r="G390">
        <v>6600</v>
      </c>
      <c r="H390">
        <v>12</v>
      </c>
      <c r="I390">
        <v>5</v>
      </c>
      <c r="J390" t="s">
        <v>15</v>
      </c>
      <c r="K390" t="s">
        <v>32</v>
      </c>
      <c r="L390" t="s">
        <v>21</v>
      </c>
      <c r="M390">
        <v>79200</v>
      </c>
      <c r="N390" t="s">
        <v>46</v>
      </c>
      <c r="O390" t="s">
        <v>52</v>
      </c>
      <c r="P390" t="s">
        <v>53</v>
      </c>
    </row>
    <row r="391" spans="1:16" x14ac:dyDescent="0.2">
      <c r="A391">
        <v>390</v>
      </c>
      <c r="B391" s="2">
        <v>43829</v>
      </c>
      <c r="C391" t="s">
        <v>30</v>
      </c>
      <c r="D391" t="s">
        <v>31</v>
      </c>
      <c r="E391" t="s">
        <v>24</v>
      </c>
      <c r="F391">
        <v>30</v>
      </c>
      <c r="G391">
        <v>10457</v>
      </c>
      <c r="H391">
        <v>2</v>
      </c>
      <c r="I391">
        <v>5</v>
      </c>
      <c r="J391" t="s">
        <v>15</v>
      </c>
      <c r="K391" t="s">
        <v>32</v>
      </c>
      <c r="L391" t="s">
        <v>39</v>
      </c>
      <c r="M391">
        <v>125484</v>
      </c>
      <c r="N391" t="s">
        <v>46</v>
      </c>
      <c r="O391" t="s">
        <v>54</v>
      </c>
      <c r="P391" t="s">
        <v>53</v>
      </c>
    </row>
    <row r="392" spans="1:16" x14ac:dyDescent="0.2">
      <c r="A392">
        <v>391</v>
      </c>
      <c r="B392" s="2">
        <v>43835</v>
      </c>
      <c r="C392" t="s">
        <v>12</v>
      </c>
      <c r="D392" t="s">
        <v>13</v>
      </c>
      <c r="E392" t="s">
        <v>24</v>
      </c>
      <c r="F392">
        <v>30</v>
      </c>
      <c r="G392">
        <v>15014</v>
      </c>
      <c r="H392">
        <v>11</v>
      </c>
      <c r="I392">
        <v>2</v>
      </c>
      <c r="J392" t="s">
        <v>15</v>
      </c>
      <c r="K392" t="s">
        <v>27</v>
      </c>
      <c r="L392" t="s">
        <v>17</v>
      </c>
      <c r="M392">
        <v>180168</v>
      </c>
      <c r="N392" t="s">
        <v>46</v>
      </c>
      <c r="O392" t="s">
        <v>52</v>
      </c>
      <c r="P392" t="s">
        <v>51</v>
      </c>
    </row>
    <row r="393" spans="1:16" x14ac:dyDescent="0.2">
      <c r="A393">
        <v>392</v>
      </c>
      <c r="B393" s="2">
        <v>41077</v>
      </c>
      <c r="C393" t="s">
        <v>22</v>
      </c>
      <c r="D393" t="s">
        <v>23</v>
      </c>
      <c r="E393" t="s">
        <v>24</v>
      </c>
      <c r="F393">
        <v>37</v>
      </c>
      <c r="G393">
        <v>17397</v>
      </c>
      <c r="H393">
        <v>12</v>
      </c>
      <c r="I393">
        <v>3</v>
      </c>
      <c r="J393" t="s">
        <v>15</v>
      </c>
      <c r="K393" t="s">
        <v>32</v>
      </c>
      <c r="L393" t="s">
        <v>17</v>
      </c>
      <c r="M393">
        <v>208764</v>
      </c>
      <c r="N393" t="s">
        <v>46</v>
      </c>
      <c r="O393" t="s">
        <v>52</v>
      </c>
      <c r="P393" t="s">
        <v>55</v>
      </c>
    </row>
    <row r="394" spans="1:16" x14ac:dyDescent="0.2">
      <c r="A394">
        <v>393</v>
      </c>
      <c r="B394" s="2">
        <v>44695</v>
      </c>
      <c r="C394" t="s">
        <v>28</v>
      </c>
      <c r="D394" t="s">
        <v>33</v>
      </c>
      <c r="E394" t="s">
        <v>24</v>
      </c>
      <c r="F394">
        <v>28</v>
      </c>
      <c r="G394">
        <v>13363</v>
      </c>
      <c r="H394">
        <v>10</v>
      </c>
      <c r="I394">
        <v>5</v>
      </c>
      <c r="J394" t="s">
        <v>20</v>
      </c>
      <c r="K394" t="s">
        <v>16</v>
      </c>
      <c r="L394" t="s">
        <v>21</v>
      </c>
      <c r="M394">
        <v>160356</v>
      </c>
      <c r="N394" t="s">
        <v>45</v>
      </c>
      <c r="O394" t="s">
        <v>52</v>
      </c>
      <c r="P394" t="s">
        <v>53</v>
      </c>
    </row>
    <row r="395" spans="1:16" x14ac:dyDescent="0.2">
      <c r="A395">
        <v>394</v>
      </c>
      <c r="B395" s="2">
        <v>42527</v>
      </c>
      <c r="C395" t="s">
        <v>18</v>
      </c>
      <c r="D395" t="s">
        <v>26</v>
      </c>
      <c r="E395" t="s">
        <v>14</v>
      </c>
      <c r="F395">
        <v>56</v>
      </c>
      <c r="G395">
        <v>6640</v>
      </c>
      <c r="H395">
        <v>4</v>
      </c>
      <c r="I395">
        <v>2</v>
      </c>
      <c r="J395" t="s">
        <v>20</v>
      </c>
      <c r="K395" t="s">
        <v>16</v>
      </c>
      <c r="L395" t="s">
        <v>39</v>
      </c>
      <c r="M395">
        <v>79680</v>
      </c>
      <c r="N395" t="s">
        <v>47</v>
      </c>
      <c r="O395" t="s">
        <v>50</v>
      </c>
      <c r="P395" t="s">
        <v>51</v>
      </c>
    </row>
    <row r="396" spans="1:16" x14ac:dyDescent="0.2">
      <c r="A396">
        <v>395</v>
      </c>
      <c r="B396" s="2">
        <v>44642</v>
      </c>
      <c r="C396" t="s">
        <v>28</v>
      </c>
      <c r="D396" t="s">
        <v>29</v>
      </c>
      <c r="E396" t="s">
        <v>14</v>
      </c>
      <c r="F396">
        <v>37</v>
      </c>
      <c r="G396">
        <v>6172</v>
      </c>
      <c r="H396">
        <v>9</v>
      </c>
      <c r="I396">
        <v>5</v>
      </c>
      <c r="J396" t="s">
        <v>15</v>
      </c>
      <c r="K396" t="s">
        <v>27</v>
      </c>
      <c r="L396" t="s">
        <v>25</v>
      </c>
      <c r="M396">
        <v>74064</v>
      </c>
      <c r="N396" t="s">
        <v>46</v>
      </c>
      <c r="O396" t="s">
        <v>52</v>
      </c>
      <c r="P396" t="s">
        <v>53</v>
      </c>
    </row>
    <row r="397" spans="1:16" x14ac:dyDescent="0.2">
      <c r="A397">
        <v>396</v>
      </c>
      <c r="B397" s="2">
        <v>40365</v>
      </c>
      <c r="C397" t="s">
        <v>12</v>
      </c>
      <c r="D397" t="s">
        <v>13</v>
      </c>
      <c r="E397" t="s">
        <v>14</v>
      </c>
      <c r="F397">
        <v>41</v>
      </c>
      <c r="G397">
        <v>15569</v>
      </c>
      <c r="H397">
        <v>2</v>
      </c>
      <c r="I397">
        <v>2</v>
      </c>
      <c r="J397" t="s">
        <v>15</v>
      </c>
      <c r="K397" t="s">
        <v>16</v>
      </c>
      <c r="L397" t="s">
        <v>39</v>
      </c>
      <c r="M397">
        <v>186828</v>
      </c>
      <c r="N397" t="s">
        <v>46</v>
      </c>
      <c r="O397" t="s">
        <v>54</v>
      </c>
      <c r="P397" t="s">
        <v>51</v>
      </c>
    </row>
    <row r="398" spans="1:16" x14ac:dyDescent="0.2">
      <c r="A398">
        <v>397</v>
      </c>
      <c r="B398" s="2">
        <v>44916</v>
      </c>
      <c r="C398" t="s">
        <v>18</v>
      </c>
      <c r="D398" t="s">
        <v>19</v>
      </c>
      <c r="E398" t="s">
        <v>14</v>
      </c>
      <c r="F398">
        <v>29</v>
      </c>
      <c r="G398">
        <v>6105</v>
      </c>
      <c r="H398">
        <v>2</v>
      </c>
      <c r="I398">
        <v>3</v>
      </c>
      <c r="J398" t="s">
        <v>20</v>
      </c>
      <c r="K398" t="s">
        <v>16</v>
      </c>
      <c r="L398" t="s">
        <v>25</v>
      </c>
      <c r="M398">
        <v>73260</v>
      </c>
      <c r="N398" t="s">
        <v>45</v>
      </c>
      <c r="O398" t="s">
        <v>54</v>
      </c>
      <c r="P398" t="s">
        <v>55</v>
      </c>
    </row>
    <row r="399" spans="1:16" x14ac:dyDescent="0.2">
      <c r="A399">
        <v>398</v>
      </c>
      <c r="B399" s="2">
        <v>41967</v>
      </c>
      <c r="C399" t="s">
        <v>22</v>
      </c>
      <c r="D399" t="s">
        <v>35</v>
      </c>
      <c r="E399" t="s">
        <v>24</v>
      </c>
      <c r="F399">
        <v>53</v>
      </c>
      <c r="G399">
        <v>8298</v>
      </c>
      <c r="H399">
        <v>10</v>
      </c>
      <c r="I399">
        <v>4</v>
      </c>
      <c r="J399" t="s">
        <v>15</v>
      </c>
      <c r="K399" t="s">
        <v>27</v>
      </c>
      <c r="L399" t="s">
        <v>21</v>
      </c>
      <c r="M399">
        <v>99576</v>
      </c>
      <c r="N399" t="s">
        <v>47</v>
      </c>
      <c r="O399" t="s">
        <v>52</v>
      </c>
      <c r="P399" t="s">
        <v>53</v>
      </c>
    </row>
    <row r="400" spans="1:16" x14ac:dyDescent="0.2">
      <c r="A400">
        <v>399</v>
      </c>
      <c r="B400" s="2">
        <v>42179</v>
      </c>
      <c r="C400" t="s">
        <v>22</v>
      </c>
      <c r="D400" t="s">
        <v>35</v>
      </c>
      <c r="E400" t="s">
        <v>24</v>
      </c>
      <c r="F400">
        <v>30</v>
      </c>
      <c r="G400">
        <v>14501</v>
      </c>
      <c r="H400">
        <v>14</v>
      </c>
      <c r="I400">
        <v>5</v>
      </c>
      <c r="J400" t="s">
        <v>20</v>
      </c>
      <c r="K400" t="s">
        <v>32</v>
      </c>
      <c r="L400" t="s">
        <v>17</v>
      </c>
      <c r="M400">
        <v>174012</v>
      </c>
      <c r="N400" t="s">
        <v>46</v>
      </c>
      <c r="O400" t="s">
        <v>52</v>
      </c>
      <c r="P400" t="s">
        <v>53</v>
      </c>
    </row>
    <row r="401" spans="1:16" x14ac:dyDescent="0.2">
      <c r="A401">
        <v>400</v>
      </c>
      <c r="B401" s="2">
        <v>42390</v>
      </c>
      <c r="C401" t="s">
        <v>30</v>
      </c>
      <c r="D401" t="s">
        <v>38</v>
      </c>
      <c r="E401" t="s">
        <v>24</v>
      </c>
      <c r="F401">
        <v>30</v>
      </c>
      <c r="G401">
        <v>10546</v>
      </c>
      <c r="H401">
        <v>0</v>
      </c>
      <c r="I401">
        <v>2</v>
      </c>
      <c r="J401" t="s">
        <v>20</v>
      </c>
      <c r="K401" t="s">
        <v>32</v>
      </c>
      <c r="L401" t="s">
        <v>17</v>
      </c>
      <c r="M401">
        <v>126552</v>
      </c>
      <c r="N401" t="s">
        <v>46</v>
      </c>
      <c r="O401" t="s">
        <v>54</v>
      </c>
      <c r="P401" t="s">
        <v>51</v>
      </c>
    </row>
    <row r="402" spans="1:16" x14ac:dyDescent="0.2">
      <c r="A402">
        <v>401</v>
      </c>
      <c r="B402" s="2">
        <v>42501</v>
      </c>
      <c r="C402" t="s">
        <v>18</v>
      </c>
      <c r="D402" t="s">
        <v>19</v>
      </c>
      <c r="E402" t="s">
        <v>24</v>
      </c>
      <c r="F402">
        <v>32</v>
      </c>
      <c r="G402">
        <v>16336</v>
      </c>
      <c r="H402">
        <v>0</v>
      </c>
      <c r="I402">
        <v>1</v>
      </c>
      <c r="J402" t="s">
        <v>15</v>
      </c>
      <c r="K402" t="s">
        <v>32</v>
      </c>
      <c r="L402" t="s">
        <v>34</v>
      </c>
      <c r="M402">
        <v>196032</v>
      </c>
      <c r="N402" t="s">
        <v>46</v>
      </c>
      <c r="O402" t="s">
        <v>54</v>
      </c>
      <c r="P402" t="s">
        <v>51</v>
      </c>
    </row>
    <row r="403" spans="1:16" x14ac:dyDescent="0.2">
      <c r="A403">
        <v>402</v>
      </c>
      <c r="B403" s="2">
        <v>42434</v>
      </c>
      <c r="C403" t="s">
        <v>30</v>
      </c>
      <c r="D403" t="s">
        <v>38</v>
      </c>
      <c r="E403" t="s">
        <v>24</v>
      </c>
      <c r="F403">
        <v>35</v>
      </c>
      <c r="G403">
        <v>8188</v>
      </c>
      <c r="H403">
        <v>5</v>
      </c>
      <c r="I403">
        <v>4</v>
      </c>
      <c r="J403" t="s">
        <v>15</v>
      </c>
      <c r="K403" t="s">
        <v>32</v>
      </c>
      <c r="L403" t="s">
        <v>21</v>
      </c>
      <c r="M403">
        <v>98256</v>
      </c>
      <c r="N403" t="s">
        <v>46</v>
      </c>
      <c r="O403" t="s">
        <v>50</v>
      </c>
      <c r="P403" t="s">
        <v>53</v>
      </c>
    </row>
    <row r="404" spans="1:16" x14ac:dyDescent="0.2">
      <c r="A404">
        <v>403</v>
      </c>
      <c r="B404" s="2">
        <v>42527</v>
      </c>
      <c r="C404" t="s">
        <v>30</v>
      </c>
      <c r="D404" t="s">
        <v>31</v>
      </c>
      <c r="E404" t="s">
        <v>24</v>
      </c>
      <c r="F404">
        <v>48</v>
      </c>
      <c r="G404">
        <v>12992</v>
      </c>
      <c r="H404">
        <v>11</v>
      </c>
      <c r="I404">
        <v>5</v>
      </c>
      <c r="J404" t="s">
        <v>15</v>
      </c>
      <c r="K404" t="s">
        <v>32</v>
      </c>
      <c r="L404" t="s">
        <v>17</v>
      </c>
      <c r="M404">
        <v>155904</v>
      </c>
      <c r="N404" t="s">
        <v>47</v>
      </c>
      <c r="O404" t="s">
        <v>52</v>
      </c>
      <c r="P404" t="s">
        <v>53</v>
      </c>
    </row>
    <row r="405" spans="1:16" x14ac:dyDescent="0.2">
      <c r="A405">
        <v>404</v>
      </c>
      <c r="B405" s="2">
        <v>42147</v>
      </c>
      <c r="C405" t="s">
        <v>22</v>
      </c>
      <c r="D405" t="s">
        <v>23</v>
      </c>
      <c r="E405" t="s">
        <v>24</v>
      </c>
      <c r="F405">
        <v>27</v>
      </c>
      <c r="G405">
        <v>7233</v>
      </c>
      <c r="H405">
        <v>6</v>
      </c>
      <c r="I405">
        <v>4</v>
      </c>
      <c r="J405" t="s">
        <v>20</v>
      </c>
      <c r="K405" t="s">
        <v>27</v>
      </c>
      <c r="L405" t="s">
        <v>25</v>
      </c>
      <c r="M405">
        <v>86796</v>
      </c>
      <c r="N405" t="s">
        <v>45</v>
      </c>
      <c r="O405" t="s">
        <v>50</v>
      </c>
      <c r="P405" t="s">
        <v>53</v>
      </c>
    </row>
    <row r="406" spans="1:16" x14ac:dyDescent="0.2">
      <c r="A406">
        <v>405</v>
      </c>
      <c r="B406" s="2">
        <v>44014</v>
      </c>
      <c r="C406" t="s">
        <v>22</v>
      </c>
      <c r="D406" t="s">
        <v>35</v>
      </c>
      <c r="E406" t="s">
        <v>14</v>
      </c>
      <c r="F406">
        <v>31</v>
      </c>
      <c r="G406">
        <v>17223</v>
      </c>
      <c r="H406">
        <v>7</v>
      </c>
      <c r="I406">
        <v>5</v>
      </c>
      <c r="J406" t="s">
        <v>15</v>
      </c>
      <c r="K406" t="s">
        <v>16</v>
      </c>
      <c r="L406" t="s">
        <v>25</v>
      </c>
      <c r="M406">
        <v>206676</v>
      </c>
      <c r="N406" t="s">
        <v>46</v>
      </c>
      <c r="O406" t="s">
        <v>50</v>
      </c>
      <c r="P406" t="s">
        <v>53</v>
      </c>
    </row>
    <row r="407" spans="1:16" x14ac:dyDescent="0.2">
      <c r="A407">
        <v>406</v>
      </c>
      <c r="B407" s="2">
        <v>43626</v>
      </c>
      <c r="C407" t="s">
        <v>28</v>
      </c>
      <c r="D407" t="s">
        <v>33</v>
      </c>
      <c r="E407" t="s">
        <v>24</v>
      </c>
      <c r="F407">
        <v>48</v>
      </c>
      <c r="G407">
        <v>8498</v>
      </c>
      <c r="H407">
        <v>6</v>
      </c>
      <c r="I407">
        <v>4</v>
      </c>
      <c r="J407" t="s">
        <v>15</v>
      </c>
      <c r="K407" t="s">
        <v>32</v>
      </c>
      <c r="L407" t="s">
        <v>17</v>
      </c>
      <c r="M407">
        <v>101976</v>
      </c>
      <c r="N407" t="s">
        <v>47</v>
      </c>
      <c r="O407" t="s">
        <v>50</v>
      </c>
      <c r="P407" t="s">
        <v>53</v>
      </c>
    </row>
    <row r="408" spans="1:16" x14ac:dyDescent="0.2">
      <c r="A408">
        <v>407</v>
      </c>
      <c r="B408" s="2">
        <v>42869</v>
      </c>
      <c r="C408" t="s">
        <v>22</v>
      </c>
      <c r="D408" t="s">
        <v>23</v>
      </c>
      <c r="E408" t="s">
        <v>24</v>
      </c>
      <c r="F408">
        <v>47</v>
      </c>
      <c r="G408">
        <v>11257</v>
      </c>
      <c r="H408">
        <v>7</v>
      </c>
      <c r="I408">
        <v>4</v>
      </c>
      <c r="J408" t="s">
        <v>15</v>
      </c>
      <c r="K408" t="s">
        <v>16</v>
      </c>
      <c r="L408" t="s">
        <v>39</v>
      </c>
      <c r="M408">
        <v>135084</v>
      </c>
      <c r="N408" t="s">
        <v>47</v>
      </c>
      <c r="O408" t="s">
        <v>50</v>
      </c>
      <c r="P408" t="s">
        <v>53</v>
      </c>
    </row>
    <row r="409" spans="1:16" x14ac:dyDescent="0.2">
      <c r="A409">
        <v>408</v>
      </c>
      <c r="B409" s="2">
        <v>40980</v>
      </c>
      <c r="C409" t="s">
        <v>28</v>
      </c>
      <c r="D409" t="s">
        <v>33</v>
      </c>
      <c r="E409" t="s">
        <v>24</v>
      </c>
      <c r="F409">
        <v>29</v>
      </c>
      <c r="G409">
        <v>16060</v>
      </c>
      <c r="H409">
        <v>8</v>
      </c>
      <c r="I409">
        <v>1</v>
      </c>
      <c r="J409" t="s">
        <v>20</v>
      </c>
      <c r="K409" t="s">
        <v>16</v>
      </c>
      <c r="L409" t="s">
        <v>17</v>
      </c>
      <c r="M409">
        <v>192720</v>
      </c>
      <c r="N409" t="s">
        <v>45</v>
      </c>
      <c r="O409" t="s">
        <v>52</v>
      </c>
      <c r="P409" t="s">
        <v>51</v>
      </c>
    </row>
    <row r="410" spans="1:16" x14ac:dyDescent="0.2">
      <c r="A410">
        <v>409</v>
      </c>
      <c r="B410" s="2">
        <v>43734</v>
      </c>
      <c r="C410" t="s">
        <v>30</v>
      </c>
      <c r="D410" t="s">
        <v>38</v>
      </c>
      <c r="E410" t="s">
        <v>14</v>
      </c>
      <c r="F410">
        <v>42</v>
      </c>
      <c r="G410">
        <v>18811</v>
      </c>
      <c r="H410">
        <v>10</v>
      </c>
      <c r="I410">
        <v>1</v>
      </c>
      <c r="J410" t="s">
        <v>20</v>
      </c>
      <c r="K410" t="s">
        <v>32</v>
      </c>
      <c r="L410" t="s">
        <v>34</v>
      </c>
      <c r="M410">
        <v>225732</v>
      </c>
      <c r="N410" t="s">
        <v>46</v>
      </c>
      <c r="O410" t="s">
        <v>52</v>
      </c>
      <c r="P410" t="s">
        <v>51</v>
      </c>
    </row>
    <row r="411" spans="1:16" x14ac:dyDescent="0.2">
      <c r="A411">
        <v>410</v>
      </c>
      <c r="B411" s="2">
        <v>41230</v>
      </c>
      <c r="C411" t="s">
        <v>12</v>
      </c>
      <c r="D411" t="s">
        <v>41</v>
      </c>
      <c r="E411" t="s">
        <v>14</v>
      </c>
      <c r="F411">
        <v>49</v>
      </c>
      <c r="G411">
        <v>17933</v>
      </c>
      <c r="H411">
        <v>1</v>
      </c>
      <c r="I411">
        <v>5</v>
      </c>
      <c r="J411" t="s">
        <v>20</v>
      </c>
      <c r="K411" t="s">
        <v>32</v>
      </c>
      <c r="L411" t="s">
        <v>21</v>
      </c>
      <c r="M411">
        <v>215196</v>
      </c>
      <c r="N411" t="s">
        <v>47</v>
      </c>
      <c r="O411" t="s">
        <v>54</v>
      </c>
      <c r="P411" t="s">
        <v>53</v>
      </c>
    </row>
    <row r="412" spans="1:16" x14ac:dyDescent="0.2">
      <c r="A412">
        <v>411</v>
      </c>
      <c r="B412" s="2">
        <v>41619</v>
      </c>
      <c r="C412" t="s">
        <v>28</v>
      </c>
      <c r="D412" t="s">
        <v>29</v>
      </c>
      <c r="E412" t="s">
        <v>14</v>
      </c>
      <c r="F412">
        <v>57</v>
      </c>
      <c r="G412">
        <v>9317</v>
      </c>
      <c r="H412">
        <v>4</v>
      </c>
      <c r="I412">
        <v>1</v>
      </c>
      <c r="J412" t="s">
        <v>15</v>
      </c>
      <c r="K412" t="s">
        <v>32</v>
      </c>
      <c r="L412" t="s">
        <v>34</v>
      </c>
      <c r="M412">
        <v>111804</v>
      </c>
      <c r="N412" t="s">
        <v>47</v>
      </c>
      <c r="O412" t="s">
        <v>50</v>
      </c>
      <c r="P412" t="s">
        <v>51</v>
      </c>
    </row>
    <row r="413" spans="1:16" x14ac:dyDescent="0.2">
      <c r="A413">
        <v>412</v>
      </c>
      <c r="B413" s="2">
        <v>42205</v>
      </c>
      <c r="C413" t="s">
        <v>36</v>
      </c>
      <c r="D413" t="s">
        <v>37</v>
      </c>
      <c r="E413" t="s">
        <v>14</v>
      </c>
      <c r="F413">
        <v>48</v>
      </c>
      <c r="G413">
        <v>12658</v>
      </c>
      <c r="H413">
        <v>3</v>
      </c>
      <c r="I413">
        <v>4</v>
      </c>
      <c r="J413" t="s">
        <v>15</v>
      </c>
      <c r="K413" t="s">
        <v>16</v>
      </c>
      <c r="L413" t="s">
        <v>17</v>
      </c>
      <c r="M413">
        <v>151896</v>
      </c>
      <c r="N413" t="s">
        <v>47</v>
      </c>
      <c r="O413" t="s">
        <v>50</v>
      </c>
      <c r="P413" t="s">
        <v>53</v>
      </c>
    </row>
    <row r="414" spans="1:16" x14ac:dyDescent="0.2">
      <c r="A414">
        <v>413</v>
      </c>
      <c r="B414" s="2">
        <v>40585</v>
      </c>
      <c r="C414" t="s">
        <v>28</v>
      </c>
      <c r="D414" t="s">
        <v>29</v>
      </c>
      <c r="E414" t="s">
        <v>24</v>
      </c>
      <c r="F414">
        <v>42</v>
      </c>
      <c r="G414">
        <v>6528</v>
      </c>
      <c r="H414">
        <v>1</v>
      </c>
      <c r="I414">
        <v>3</v>
      </c>
      <c r="J414" t="s">
        <v>15</v>
      </c>
      <c r="K414" t="s">
        <v>16</v>
      </c>
      <c r="L414" t="s">
        <v>39</v>
      </c>
      <c r="M414">
        <v>78336</v>
      </c>
      <c r="N414" t="s">
        <v>46</v>
      </c>
      <c r="O414" t="s">
        <v>54</v>
      </c>
      <c r="P414" t="s">
        <v>55</v>
      </c>
    </row>
    <row r="415" spans="1:16" x14ac:dyDescent="0.2">
      <c r="A415">
        <v>414</v>
      </c>
      <c r="B415" s="2">
        <v>40346</v>
      </c>
      <c r="C415" t="s">
        <v>12</v>
      </c>
      <c r="D415" t="s">
        <v>13</v>
      </c>
      <c r="E415" t="s">
        <v>24</v>
      </c>
      <c r="F415">
        <v>60</v>
      </c>
      <c r="G415">
        <v>10244</v>
      </c>
      <c r="H415">
        <v>1</v>
      </c>
      <c r="I415">
        <v>2</v>
      </c>
      <c r="J415" t="s">
        <v>15</v>
      </c>
      <c r="K415" t="s">
        <v>27</v>
      </c>
      <c r="L415" t="s">
        <v>21</v>
      </c>
      <c r="M415">
        <v>122928</v>
      </c>
      <c r="N415" t="s">
        <v>47</v>
      </c>
      <c r="O415" t="s">
        <v>54</v>
      </c>
      <c r="P415" t="s">
        <v>51</v>
      </c>
    </row>
    <row r="416" spans="1:16" x14ac:dyDescent="0.2">
      <c r="A416">
        <v>415</v>
      </c>
      <c r="B416" s="2">
        <v>41062</v>
      </c>
      <c r="C416" t="s">
        <v>18</v>
      </c>
      <c r="D416" t="s">
        <v>19</v>
      </c>
      <c r="E416" t="s">
        <v>14</v>
      </c>
      <c r="F416">
        <v>53</v>
      </c>
      <c r="G416">
        <v>16322</v>
      </c>
      <c r="H416">
        <v>2</v>
      </c>
      <c r="I416">
        <v>4</v>
      </c>
      <c r="J416" t="s">
        <v>15</v>
      </c>
      <c r="K416" t="s">
        <v>16</v>
      </c>
      <c r="L416" t="s">
        <v>17</v>
      </c>
      <c r="M416">
        <v>195864</v>
      </c>
      <c r="N416" t="s">
        <v>47</v>
      </c>
      <c r="O416" t="s">
        <v>54</v>
      </c>
      <c r="P416" t="s">
        <v>53</v>
      </c>
    </row>
    <row r="417" spans="1:16" x14ac:dyDescent="0.2">
      <c r="A417">
        <v>416</v>
      </c>
      <c r="B417" s="2">
        <v>45124</v>
      </c>
      <c r="C417" t="s">
        <v>28</v>
      </c>
      <c r="D417" t="s">
        <v>33</v>
      </c>
      <c r="E417" t="s">
        <v>14</v>
      </c>
      <c r="F417">
        <v>54</v>
      </c>
      <c r="G417">
        <v>9836</v>
      </c>
      <c r="H417">
        <v>4</v>
      </c>
      <c r="I417">
        <v>3</v>
      </c>
      <c r="J417" t="s">
        <v>15</v>
      </c>
      <c r="K417" t="s">
        <v>16</v>
      </c>
      <c r="L417" t="s">
        <v>34</v>
      </c>
      <c r="M417">
        <v>118032</v>
      </c>
      <c r="N417" t="s">
        <v>47</v>
      </c>
      <c r="O417" t="s">
        <v>50</v>
      </c>
      <c r="P417" t="s">
        <v>55</v>
      </c>
    </row>
    <row r="418" spans="1:16" x14ac:dyDescent="0.2">
      <c r="A418">
        <v>417</v>
      </c>
      <c r="B418" s="2">
        <v>41354</v>
      </c>
      <c r="C418" t="s">
        <v>28</v>
      </c>
      <c r="D418" t="s">
        <v>29</v>
      </c>
      <c r="E418" t="s">
        <v>24</v>
      </c>
      <c r="F418">
        <v>58</v>
      </c>
      <c r="G418">
        <v>14476</v>
      </c>
      <c r="H418">
        <v>6</v>
      </c>
      <c r="I418">
        <v>5</v>
      </c>
      <c r="J418" t="s">
        <v>15</v>
      </c>
      <c r="K418" t="s">
        <v>32</v>
      </c>
      <c r="L418" t="s">
        <v>21</v>
      </c>
      <c r="M418">
        <v>173712</v>
      </c>
      <c r="N418" t="s">
        <v>47</v>
      </c>
      <c r="O418" t="s">
        <v>50</v>
      </c>
      <c r="P418" t="s">
        <v>53</v>
      </c>
    </row>
    <row r="419" spans="1:16" x14ac:dyDescent="0.2">
      <c r="A419">
        <v>418</v>
      </c>
      <c r="B419" s="2">
        <v>42200</v>
      </c>
      <c r="C419" t="s">
        <v>36</v>
      </c>
      <c r="D419" t="s">
        <v>37</v>
      </c>
      <c r="E419" t="s">
        <v>14</v>
      </c>
      <c r="F419">
        <v>26</v>
      </c>
      <c r="G419">
        <v>19510</v>
      </c>
      <c r="H419">
        <v>6</v>
      </c>
      <c r="I419">
        <v>5</v>
      </c>
      <c r="J419" t="s">
        <v>20</v>
      </c>
      <c r="K419" t="s">
        <v>27</v>
      </c>
      <c r="L419" t="s">
        <v>39</v>
      </c>
      <c r="M419">
        <v>234120</v>
      </c>
      <c r="N419" t="s">
        <v>45</v>
      </c>
      <c r="O419" t="s">
        <v>50</v>
      </c>
      <c r="P419" t="s">
        <v>53</v>
      </c>
    </row>
    <row r="420" spans="1:16" x14ac:dyDescent="0.2">
      <c r="A420">
        <v>419</v>
      </c>
      <c r="B420" s="2">
        <v>42994</v>
      </c>
      <c r="C420" t="s">
        <v>36</v>
      </c>
      <c r="D420" t="s">
        <v>37</v>
      </c>
      <c r="E420" t="s">
        <v>14</v>
      </c>
      <c r="F420">
        <v>31</v>
      </c>
      <c r="G420">
        <v>9882</v>
      </c>
      <c r="H420">
        <v>2</v>
      </c>
      <c r="I420">
        <v>2</v>
      </c>
      <c r="J420" t="s">
        <v>15</v>
      </c>
      <c r="K420" t="s">
        <v>16</v>
      </c>
      <c r="L420" t="s">
        <v>21</v>
      </c>
      <c r="M420">
        <v>118584</v>
      </c>
      <c r="N420" t="s">
        <v>46</v>
      </c>
      <c r="O420" t="s">
        <v>54</v>
      </c>
      <c r="P420" t="s">
        <v>51</v>
      </c>
    </row>
    <row r="421" spans="1:16" x14ac:dyDescent="0.2">
      <c r="A421">
        <v>420</v>
      </c>
      <c r="B421" s="2">
        <v>42874</v>
      </c>
      <c r="C421" t="s">
        <v>22</v>
      </c>
      <c r="D421" t="s">
        <v>35</v>
      </c>
      <c r="E421" t="s">
        <v>14</v>
      </c>
      <c r="F421">
        <v>56</v>
      </c>
      <c r="G421">
        <v>11940</v>
      </c>
      <c r="H421">
        <v>5</v>
      </c>
      <c r="I421">
        <v>3</v>
      </c>
      <c r="J421" t="s">
        <v>20</v>
      </c>
      <c r="K421" t="s">
        <v>16</v>
      </c>
      <c r="L421" t="s">
        <v>17</v>
      </c>
      <c r="M421">
        <v>143280</v>
      </c>
      <c r="N421" t="s">
        <v>47</v>
      </c>
      <c r="O421" t="s">
        <v>50</v>
      </c>
      <c r="P421" t="s">
        <v>55</v>
      </c>
    </row>
    <row r="422" spans="1:16" x14ac:dyDescent="0.2">
      <c r="A422">
        <v>421</v>
      </c>
      <c r="B422" s="2">
        <v>42743</v>
      </c>
      <c r="C422" t="s">
        <v>18</v>
      </c>
      <c r="D422" t="s">
        <v>19</v>
      </c>
      <c r="E422" t="s">
        <v>24</v>
      </c>
      <c r="F422">
        <v>48</v>
      </c>
      <c r="G422">
        <v>13111</v>
      </c>
      <c r="H422">
        <v>14</v>
      </c>
      <c r="I422">
        <v>1</v>
      </c>
      <c r="J422" t="s">
        <v>15</v>
      </c>
      <c r="K422" t="s">
        <v>32</v>
      </c>
      <c r="L422" t="s">
        <v>17</v>
      </c>
      <c r="M422">
        <v>157332</v>
      </c>
      <c r="N422" t="s">
        <v>47</v>
      </c>
      <c r="O422" t="s">
        <v>52</v>
      </c>
      <c r="P422" t="s">
        <v>51</v>
      </c>
    </row>
    <row r="423" spans="1:16" x14ac:dyDescent="0.2">
      <c r="A423">
        <v>422</v>
      </c>
      <c r="B423" s="2">
        <v>42092</v>
      </c>
      <c r="C423" t="s">
        <v>28</v>
      </c>
      <c r="D423" t="s">
        <v>33</v>
      </c>
      <c r="E423" t="s">
        <v>24</v>
      </c>
      <c r="F423">
        <v>51</v>
      </c>
      <c r="G423">
        <v>8022</v>
      </c>
      <c r="H423">
        <v>2</v>
      </c>
      <c r="I423">
        <v>5</v>
      </c>
      <c r="J423" t="s">
        <v>20</v>
      </c>
      <c r="K423" t="s">
        <v>16</v>
      </c>
      <c r="L423" t="s">
        <v>34</v>
      </c>
      <c r="M423">
        <v>96264</v>
      </c>
      <c r="N423" t="s">
        <v>47</v>
      </c>
      <c r="O423" t="s">
        <v>54</v>
      </c>
      <c r="P423" t="s">
        <v>53</v>
      </c>
    </row>
    <row r="424" spans="1:16" x14ac:dyDescent="0.2">
      <c r="A424">
        <v>423</v>
      </c>
      <c r="B424" s="2">
        <v>43524</v>
      </c>
      <c r="C424" t="s">
        <v>28</v>
      </c>
      <c r="D424" t="s">
        <v>29</v>
      </c>
      <c r="E424" t="s">
        <v>14</v>
      </c>
      <c r="F424">
        <v>60</v>
      </c>
      <c r="G424">
        <v>19503</v>
      </c>
      <c r="H424">
        <v>9</v>
      </c>
      <c r="I424">
        <v>2</v>
      </c>
      <c r="J424" t="s">
        <v>15</v>
      </c>
      <c r="K424" t="s">
        <v>16</v>
      </c>
      <c r="L424" t="s">
        <v>34</v>
      </c>
      <c r="M424">
        <v>234036</v>
      </c>
      <c r="N424" t="s">
        <v>47</v>
      </c>
      <c r="O424" t="s">
        <v>52</v>
      </c>
      <c r="P424" t="s">
        <v>51</v>
      </c>
    </row>
    <row r="425" spans="1:16" x14ac:dyDescent="0.2">
      <c r="A425">
        <v>424</v>
      </c>
      <c r="B425" s="2">
        <v>40375</v>
      </c>
      <c r="C425" t="s">
        <v>36</v>
      </c>
      <c r="D425" t="s">
        <v>40</v>
      </c>
      <c r="E425" t="s">
        <v>14</v>
      </c>
      <c r="F425">
        <v>29</v>
      </c>
      <c r="G425">
        <v>4064</v>
      </c>
      <c r="H425">
        <v>7</v>
      </c>
      <c r="I425">
        <v>2</v>
      </c>
      <c r="J425" t="s">
        <v>20</v>
      </c>
      <c r="K425" t="s">
        <v>32</v>
      </c>
      <c r="L425" t="s">
        <v>17</v>
      </c>
      <c r="M425">
        <v>48768</v>
      </c>
      <c r="N425" t="s">
        <v>45</v>
      </c>
      <c r="O425" t="s">
        <v>50</v>
      </c>
      <c r="P425" t="s">
        <v>51</v>
      </c>
    </row>
    <row r="426" spans="1:16" x14ac:dyDescent="0.2">
      <c r="A426">
        <v>425</v>
      </c>
      <c r="B426" s="2">
        <v>41021</v>
      </c>
      <c r="C426" t="s">
        <v>22</v>
      </c>
      <c r="D426" t="s">
        <v>23</v>
      </c>
      <c r="E426" t="s">
        <v>24</v>
      </c>
      <c r="F426">
        <v>28</v>
      </c>
      <c r="G426">
        <v>16500</v>
      </c>
      <c r="H426">
        <v>9</v>
      </c>
      <c r="I426">
        <v>2</v>
      </c>
      <c r="J426" t="s">
        <v>20</v>
      </c>
      <c r="K426" t="s">
        <v>32</v>
      </c>
      <c r="L426" t="s">
        <v>39</v>
      </c>
      <c r="M426">
        <v>198000</v>
      </c>
      <c r="N426" t="s">
        <v>45</v>
      </c>
      <c r="O426" t="s">
        <v>52</v>
      </c>
      <c r="P426" t="s">
        <v>51</v>
      </c>
    </row>
    <row r="427" spans="1:16" x14ac:dyDescent="0.2">
      <c r="A427">
        <v>426</v>
      </c>
      <c r="B427" s="2">
        <v>44670</v>
      </c>
      <c r="C427" t="s">
        <v>36</v>
      </c>
      <c r="D427" t="s">
        <v>42</v>
      </c>
      <c r="E427" t="s">
        <v>24</v>
      </c>
      <c r="F427">
        <v>56</v>
      </c>
      <c r="G427">
        <v>8828</v>
      </c>
      <c r="H427">
        <v>12</v>
      </c>
      <c r="I427">
        <v>3</v>
      </c>
      <c r="J427" t="s">
        <v>20</v>
      </c>
      <c r="K427" t="s">
        <v>16</v>
      </c>
      <c r="L427" t="s">
        <v>34</v>
      </c>
      <c r="M427">
        <v>105936</v>
      </c>
      <c r="N427" t="s">
        <v>47</v>
      </c>
      <c r="O427" t="s">
        <v>52</v>
      </c>
      <c r="P427" t="s">
        <v>55</v>
      </c>
    </row>
    <row r="428" spans="1:16" x14ac:dyDescent="0.2">
      <c r="A428">
        <v>427</v>
      </c>
      <c r="B428" s="2">
        <v>42428</v>
      </c>
      <c r="C428" t="s">
        <v>22</v>
      </c>
      <c r="D428" t="s">
        <v>23</v>
      </c>
      <c r="E428" t="s">
        <v>24</v>
      </c>
      <c r="F428">
        <v>54</v>
      </c>
      <c r="G428">
        <v>5001</v>
      </c>
      <c r="H428">
        <v>2</v>
      </c>
      <c r="I428">
        <v>1</v>
      </c>
      <c r="J428" t="s">
        <v>15</v>
      </c>
      <c r="K428" t="s">
        <v>32</v>
      </c>
      <c r="L428" t="s">
        <v>25</v>
      </c>
      <c r="M428">
        <v>60012</v>
      </c>
      <c r="N428" t="s">
        <v>47</v>
      </c>
      <c r="O428" t="s">
        <v>54</v>
      </c>
      <c r="P428" t="s">
        <v>51</v>
      </c>
    </row>
    <row r="429" spans="1:16" x14ac:dyDescent="0.2">
      <c r="A429">
        <v>428</v>
      </c>
      <c r="B429" s="2">
        <v>45034</v>
      </c>
      <c r="C429" t="s">
        <v>30</v>
      </c>
      <c r="D429" t="s">
        <v>38</v>
      </c>
      <c r="E429" t="s">
        <v>24</v>
      </c>
      <c r="F429">
        <v>31</v>
      </c>
      <c r="G429">
        <v>18478</v>
      </c>
      <c r="H429">
        <v>11</v>
      </c>
      <c r="I429">
        <v>4</v>
      </c>
      <c r="J429" t="s">
        <v>15</v>
      </c>
      <c r="K429" t="s">
        <v>27</v>
      </c>
      <c r="L429" t="s">
        <v>39</v>
      </c>
      <c r="M429">
        <v>221736</v>
      </c>
      <c r="N429" t="s">
        <v>46</v>
      </c>
      <c r="O429" t="s">
        <v>52</v>
      </c>
      <c r="P429" t="s">
        <v>53</v>
      </c>
    </row>
    <row r="430" spans="1:16" x14ac:dyDescent="0.2">
      <c r="A430">
        <v>429</v>
      </c>
      <c r="B430" s="2">
        <v>43489</v>
      </c>
      <c r="C430" t="s">
        <v>36</v>
      </c>
      <c r="D430" t="s">
        <v>40</v>
      </c>
      <c r="E430" t="s">
        <v>24</v>
      </c>
      <c r="F430">
        <v>42</v>
      </c>
      <c r="G430">
        <v>17025</v>
      </c>
      <c r="H430">
        <v>15</v>
      </c>
      <c r="I430">
        <v>4</v>
      </c>
      <c r="J430" t="s">
        <v>15</v>
      </c>
      <c r="K430" t="s">
        <v>16</v>
      </c>
      <c r="L430" t="s">
        <v>17</v>
      </c>
      <c r="M430">
        <v>204300</v>
      </c>
      <c r="N430" t="s">
        <v>46</v>
      </c>
      <c r="O430" t="s">
        <v>52</v>
      </c>
      <c r="P430" t="s">
        <v>53</v>
      </c>
    </row>
    <row r="431" spans="1:16" x14ac:dyDescent="0.2">
      <c r="A431">
        <v>430</v>
      </c>
      <c r="B431" s="2">
        <v>44888</v>
      </c>
      <c r="C431" t="s">
        <v>28</v>
      </c>
      <c r="D431" t="s">
        <v>33</v>
      </c>
      <c r="E431" t="s">
        <v>24</v>
      </c>
      <c r="F431">
        <v>50</v>
      </c>
      <c r="G431">
        <v>17304</v>
      </c>
      <c r="H431">
        <v>5</v>
      </c>
      <c r="I431">
        <v>2</v>
      </c>
      <c r="J431" t="s">
        <v>15</v>
      </c>
      <c r="K431" t="s">
        <v>16</v>
      </c>
      <c r="L431" t="s">
        <v>25</v>
      </c>
      <c r="M431">
        <v>207648</v>
      </c>
      <c r="N431" t="s">
        <v>47</v>
      </c>
      <c r="O431" t="s">
        <v>50</v>
      </c>
      <c r="P431" t="s">
        <v>51</v>
      </c>
    </row>
    <row r="432" spans="1:16" x14ac:dyDescent="0.2">
      <c r="A432">
        <v>431</v>
      </c>
      <c r="B432" s="2">
        <v>44980</v>
      </c>
      <c r="C432" t="s">
        <v>36</v>
      </c>
      <c r="D432" t="s">
        <v>42</v>
      </c>
      <c r="E432" t="s">
        <v>14</v>
      </c>
      <c r="F432">
        <v>50</v>
      </c>
      <c r="G432">
        <v>4816</v>
      </c>
      <c r="H432">
        <v>8</v>
      </c>
      <c r="I432">
        <v>1</v>
      </c>
      <c r="J432" t="s">
        <v>15</v>
      </c>
      <c r="K432" t="s">
        <v>32</v>
      </c>
      <c r="L432" t="s">
        <v>21</v>
      </c>
      <c r="M432">
        <v>57792</v>
      </c>
      <c r="N432" t="s">
        <v>47</v>
      </c>
      <c r="O432" t="s">
        <v>52</v>
      </c>
      <c r="P432" t="s">
        <v>51</v>
      </c>
    </row>
    <row r="433" spans="1:16" x14ac:dyDescent="0.2">
      <c r="A433">
        <v>432</v>
      </c>
      <c r="B433" s="2">
        <v>40394</v>
      </c>
      <c r="C433" t="s">
        <v>12</v>
      </c>
      <c r="D433" t="s">
        <v>13</v>
      </c>
      <c r="E433" t="s">
        <v>14</v>
      </c>
      <c r="F433">
        <v>48</v>
      </c>
      <c r="G433">
        <v>11761</v>
      </c>
      <c r="H433">
        <v>2</v>
      </c>
      <c r="I433">
        <v>1</v>
      </c>
      <c r="J433" t="s">
        <v>15</v>
      </c>
      <c r="K433" t="s">
        <v>27</v>
      </c>
      <c r="L433" t="s">
        <v>25</v>
      </c>
      <c r="M433">
        <v>141132</v>
      </c>
      <c r="N433" t="s">
        <v>47</v>
      </c>
      <c r="O433" t="s">
        <v>54</v>
      </c>
      <c r="P433" t="s">
        <v>51</v>
      </c>
    </row>
    <row r="434" spans="1:16" x14ac:dyDescent="0.2">
      <c r="A434">
        <v>433</v>
      </c>
      <c r="B434" s="2">
        <v>43400</v>
      </c>
      <c r="C434" t="s">
        <v>36</v>
      </c>
      <c r="D434" t="s">
        <v>37</v>
      </c>
      <c r="E434" t="s">
        <v>14</v>
      </c>
      <c r="F434">
        <v>53</v>
      </c>
      <c r="G434">
        <v>9446</v>
      </c>
      <c r="H434">
        <v>10</v>
      </c>
      <c r="I434">
        <v>4</v>
      </c>
      <c r="J434" t="s">
        <v>20</v>
      </c>
      <c r="K434" t="s">
        <v>32</v>
      </c>
      <c r="L434" t="s">
        <v>25</v>
      </c>
      <c r="M434">
        <v>113352</v>
      </c>
      <c r="N434" t="s">
        <v>47</v>
      </c>
      <c r="O434" t="s">
        <v>52</v>
      </c>
      <c r="P434" t="s">
        <v>53</v>
      </c>
    </row>
    <row r="435" spans="1:16" x14ac:dyDescent="0.2">
      <c r="A435">
        <v>434</v>
      </c>
      <c r="B435" s="2">
        <v>40644</v>
      </c>
      <c r="C435" t="s">
        <v>12</v>
      </c>
      <c r="D435" t="s">
        <v>13</v>
      </c>
      <c r="E435" t="s">
        <v>14</v>
      </c>
      <c r="F435">
        <v>50</v>
      </c>
      <c r="G435">
        <v>4761</v>
      </c>
      <c r="H435">
        <v>12</v>
      </c>
      <c r="I435">
        <v>2</v>
      </c>
      <c r="J435" t="s">
        <v>20</v>
      </c>
      <c r="K435" t="s">
        <v>27</v>
      </c>
      <c r="L435" t="s">
        <v>17</v>
      </c>
      <c r="M435">
        <v>57132</v>
      </c>
      <c r="N435" t="s">
        <v>47</v>
      </c>
      <c r="O435" t="s">
        <v>52</v>
      </c>
      <c r="P435" t="s">
        <v>51</v>
      </c>
    </row>
    <row r="436" spans="1:16" x14ac:dyDescent="0.2">
      <c r="A436">
        <v>435</v>
      </c>
      <c r="B436" s="2">
        <v>44188</v>
      </c>
      <c r="C436" t="s">
        <v>12</v>
      </c>
      <c r="D436" t="s">
        <v>41</v>
      </c>
      <c r="E436" t="s">
        <v>24</v>
      </c>
      <c r="F436">
        <v>46</v>
      </c>
      <c r="G436">
        <v>7526</v>
      </c>
      <c r="H436">
        <v>9</v>
      </c>
      <c r="I436">
        <v>2</v>
      </c>
      <c r="J436" t="s">
        <v>20</v>
      </c>
      <c r="K436" t="s">
        <v>32</v>
      </c>
      <c r="L436" t="s">
        <v>25</v>
      </c>
      <c r="M436">
        <v>90312</v>
      </c>
      <c r="N436" t="s">
        <v>47</v>
      </c>
      <c r="O436" t="s">
        <v>52</v>
      </c>
      <c r="P436" t="s">
        <v>51</v>
      </c>
    </row>
    <row r="437" spans="1:16" x14ac:dyDescent="0.2">
      <c r="A437">
        <v>436</v>
      </c>
      <c r="B437" s="2">
        <v>41789</v>
      </c>
      <c r="C437" t="s">
        <v>28</v>
      </c>
      <c r="D437" t="s">
        <v>29</v>
      </c>
      <c r="E437" t="s">
        <v>24</v>
      </c>
      <c r="F437">
        <v>35</v>
      </c>
      <c r="G437">
        <v>5689</v>
      </c>
      <c r="H437">
        <v>11</v>
      </c>
      <c r="I437">
        <v>5</v>
      </c>
      <c r="J437" t="s">
        <v>15</v>
      </c>
      <c r="K437" t="s">
        <v>16</v>
      </c>
      <c r="L437" t="s">
        <v>25</v>
      </c>
      <c r="M437">
        <v>68268</v>
      </c>
      <c r="N437" t="s">
        <v>46</v>
      </c>
      <c r="O437" t="s">
        <v>52</v>
      </c>
      <c r="P437" t="s">
        <v>53</v>
      </c>
    </row>
    <row r="438" spans="1:16" x14ac:dyDescent="0.2">
      <c r="A438">
        <v>437</v>
      </c>
      <c r="B438" s="2">
        <v>43337</v>
      </c>
      <c r="C438" t="s">
        <v>22</v>
      </c>
      <c r="D438" t="s">
        <v>23</v>
      </c>
      <c r="E438" t="s">
        <v>24</v>
      </c>
      <c r="F438">
        <v>28</v>
      </c>
      <c r="G438">
        <v>18145</v>
      </c>
      <c r="H438">
        <v>10</v>
      </c>
      <c r="I438">
        <v>1</v>
      </c>
      <c r="J438" t="s">
        <v>15</v>
      </c>
      <c r="K438" t="s">
        <v>32</v>
      </c>
      <c r="L438" t="s">
        <v>39</v>
      </c>
      <c r="M438">
        <v>217740</v>
      </c>
      <c r="N438" t="s">
        <v>45</v>
      </c>
      <c r="O438" t="s">
        <v>52</v>
      </c>
      <c r="P438" t="s">
        <v>51</v>
      </c>
    </row>
    <row r="439" spans="1:16" x14ac:dyDescent="0.2">
      <c r="A439">
        <v>438</v>
      </c>
      <c r="B439" s="2">
        <v>42020</v>
      </c>
      <c r="C439" t="s">
        <v>18</v>
      </c>
      <c r="D439" t="s">
        <v>19</v>
      </c>
      <c r="E439" t="s">
        <v>14</v>
      </c>
      <c r="F439">
        <v>26</v>
      </c>
      <c r="G439">
        <v>19425</v>
      </c>
      <c r="H439">
        <v>3</v>
      </c>
      <c r="I439">
        <v>4</v>
      </c>
      <c r="J439" t="s">
        <v>20</v>
      </c>
      <c r="K439" t="s">
        <v>27</v>
      </c>
      <c r="L439" t="s">
        <v>25</v>
      </c>
      <c r="M439">
        <v>233100</v>
      </c>
      <c r="N439" t="s">
        <v>45</v>
      </c>
      <c r="O439" t="s">
        <v>50</v>
      </c>
      <c r="P439" t="s">
        <v>53</v>
      </c>
    </row>
    <row r="440" spans="1:16" x14ac:dyDescent="0.2">
      <c r="A440">
        <v>439</v>
      </c>
      <c r="B440" s="2">
        <v>42689</v>
      </c>
      <c r="C440" t="s">
        <v>12</v>
      </c>
      <c r="D440" t="s">
        <v>41</v>
      </c>
      <c r="E440" t="s">
        <v>24</v>
      </c>
      <c r="F440">
        <v>60</v>
      </c>
      <c r="G440">
        <v>17522</v>
      </c>
      <c r="H440">
        <v>9</v>
      </c>
      <c r="I440">
        <v>1</v>
      </c>
      <c r="J440" t="s">
        <v>15</v>
      </c>
      <c r="K440" t="s">
        <v>32</v>
      </c>
      <c r="L440" t="s">
        <v>39</v>
      </c>
      <c r="M440">
        <v>210264</v>
      </c>
      <c r="N440" t="s">
        <v>47</v>
      </c>
      <c r="O440" t="s">
        <v>52</v>
      </c>
      <c r="P440" t="s">
        <v>51</v>
      </c>
    </row>
    <row r="441" spans="1:16" x14ac:dyDescent="0.2">
      <c r="A441">
        <v>440</v>
      </c>
      <c r="B441" s="2">
        <v>40433</v>
      </c>
      <c r="C441" t="s">
        <v>30</v>
      </c>
      <c r="D441" t="s">
        <v>31</v>
      </c>
      <c r="E441" t="s">
        <v>14</v>
      </c>
      <c r="F441">
        <v>38</v>
      </c>
      <c r="G441">
        <v>16237</v>
      </c>
      <c r="H441">
        <v>7</v>
      </c>
      <c r="I441">
        <v>5</v>
      </c>
      <c r="J441" t="s">
        <v>15</v>
      </c>
      <c r="K441" t="s">
        <v>27</v>
      </c>
      <c r="L441" t="s">
        <v>25</v>
      </c>
      <c r="M441">
        <v>194844</v>
      </c>
      <c r="N441" t="s">
        <v>46</v>
      </c>
      <c r="O441" t="s">
        <v>50</v>
      </c>
      <c r="P441" t="s">
        <v>53</v>
      </c>
    </row>
    <row r="442" spans="1:16" x14ac:dyDescent="0.2">
      <c r="A442">
        <v>441</v>
      </c>
      <c r="B442" s="2">
        <v>40217</v>
      </c>
      <c r="C442" t="s">
        <v>30</v>
      </c>
      <c r="D442" t="s">
        <v>38</v>
      </c>
      <c r="E442" t="s">
        <v>24</v>
      </c>
      <c r="F442">
        <v>26</v>
      </c>
      <c r="G442">
        <v>8374</v>
      </c>
      <c r="H442">
        <v>12</v>
      </c>
      <c r="I442">
        <v>1</v>
      </c>
      <c r="J442" t="s">
        <v>20</v>
      </c>
      <c r="K442" t="s">
        <v>16</v>
      </c>
      <c r="L442" t="s">
        <v>21</v>
      </c>
      <c r="M442">
        <v>100488</v>
      </c>
      <c r="N442" t="s">
        <v>45</v>
      </c>
      <c r="O442" t="s">
        <v>52</v>
      </c>
      <c r="P442" t="s">
        <v>51</v>
      </c>
    </row>
    <row r="443" spans="1:16" x14ac:dyDescent="0.2">
      <c r="A443">
        <v>442</v>
      </c>
      <c r="B443" s="2">
        <v>45047</v>
      </c>
      <c r="C443" t="s">
        <v>18</v>
      </c>
      <c r="D443" t="s">
        <v>19</v>
      </c>
      <c r="E443" t="s">
        <v>14</v>
      </c>
      <c r="F443">
        <v>54</v>
      </c>
      <c r="G443">
        <v>15363</v>
      </c>
      <c r="H443">
        <v>13</v>
      </c>
      <c r="I443">
        <v>5</v>
      </c>
      <c r="J443" t="s">
        <v>15</v>
      </c>
      <c r="K443" t="s">
        <v>16</v>
      </c>
      <c r="L443" t="s">
        <v>39</v>
      </c>
      <c r="M443">
        <v>184356</v>
      </c>
      <c r="N443" t="s">
        <v>47</v>
      </c>
      <c r="O443" t="s">
        <v>52</v>
      </c>
      <c r="P443" t="s">
        <v>53</v>
      </c>
    </row>
    <row r="444" spans="1:16" x14ac:dyDescent="0.2">
      <c r="A444">
        <v>443</v>
      </c>
      <c r="B444" s="2">
        <v>40436</v>
      </c>
      <c r="C444" t="s">
        <v>18</v>
      </c>
      <c r="D444" t="s">
        <v>26</v>
      </c>
      <c r="E444" t="s">
        <v>14</v>
      </c>
      <c r="F444">
        <v>58</v>
      </c>
      <c r="G444">
        <v>16623</v>
      </c>
      <c r="H444">
        <v>4</v>
      </c>
      <c r="I444">
        <v>3</v>
      </c>
      <c r="J444" t="s">
        <v>20</v>
      </c>
      <c r="K444" t="s">
        <v>32</v>
      </c>
      <c r="L444" t="s">
        <v>21</v>
      </c>
      <c r="M444">
        <v>199476</v>
      </c>
      <c r="N444" t="s">
        <v>47</v>
      </c>
      <c r="O444" t="s">
        <v>50</v>
      </c>
      <c r="P444" t="s">
        <v>55</v>
      </c>
    </row>
    <row r="445" spans="1:16" x14ac:dyDescent="0.2">
      <c r="A445">
        <v>444</v>
      </c>
      <c r="B445" s="2">
        <v>45071</v>
      </c>
      <c r="C445" t="s">
        <v>22</v>
      </c>
      <c r="D445" t="s">
        <v>23</v>
      </c>
      <c r="E445" t="s">
        <v>24</v>
      </c>
      <c r="F445">
        <v>50</v>
      </c>
      <c r="G445">
        <v>4409</v>
      </c>
      <c r="H445">
        <v>11</v>
      </c>
      <c r="I445">
        <v>5</v>
      </c>
      <c r="J445" t="s">
        <v>20</v>
      </c>
      <c r="K445" t="s">
        <v>16</v>
      </c>
      <c r="L445" t="s">
        <v>34</v>
      </c>
      <c r="M445">
        <v>52908</v>
      </c>
      <c r="N445" t="s">
        <v>47</v>
      </c>
      <c r="O445" t="s">
        <v>52</v>
      </c>
      <c r="P445" t="s">
        <v>53</v>
      </c>
    </row>
    <row r="446" spans="1:16" x14ac:dyDescent="0.2">
      <c r="A446">
        <v>445</v>
      </c>
      <c r="B446" s="2">
        <v>43030</v>
      </c>
      <c r="C446" t="s">
        <v>30</v>
      </c>
      <c r="D446" t="s">
        <v>31</v>
      </c>
      <c r="E446" t="s">
        <v>24</v>
      </c>
      <c r="F446">
        <v>33</v>
      </c>
      <c r="G446">
        <v>18328</v>
      </c>
      <c r="H446">
        <v>8</v>
      </c>
      <c r="I446">
        <v>1</v>
      </c>
      <c r="J446" t="s">
        <v>20</v>
      </c>
      <c r="K446" t="s">
        <v>16</v>
      </c>
      <c r="L446" t="s">
        <v>25</v>
      </c>
      <c r="M446">
        <v>219936</v>
      </c>
      <c r="N446" t="s">
        <v>46</v>
      </c>
      <c r="O446" t="s">
        <v>52</v>
      </c>
      <c r="P446" t="s">
        <v>51</v>
      </c>
    </row>
    <row r="447" spans="1:16" x14ac:dyDescent="0.2">
      <c r="A447">
        <v>446</v>
      </c>
      <c r="B447" s="2">
        <v>44392</v>
      </c>
      <c r="C447" t="s">
        <v>30</v>
      </c>
      <c r="D447" t="s">
        <v>31</v>
      </c>
      <c r="E447" t="s">
        <v>14</v>
      </c>
      <c r="F447">
        <v>58</v>
      </c>
      <c r="G447">
        <v>16953</v>
      </c>
      <c r="H447">
        <v>10</v>
      </c>
      <c r="I447">
        <v>4</v>
      </c>
      <c r="J447" t="s">
        <v>15</v>
      </c>
      <c r="K447" t="s">
        <v>16</v>
      </c>
      <c r="L447" t="s">
        <v>21</v>
      </c>
      <c r="M447">
        <v>203436</v>
      </c>
      <c r="N447" t="s">
        <v>47</v>
      </c>
      <c r="O447" t="s">
        <v>52</v>
      </c>
      <c r="P447" t="s">
        <v>53</v>
      </c>
    </row>
    <row r="448" spans="1:16" x14ac:dyDescent="0.2">
      <c r="A448">
        <v>447</v>
      </c>
      <c r="B448" s="2">
        <v>42282</v>
      </c>
      <c r="C448" t="s">
        <v>12</v>
      </c>
      <c r="D448" t="s">
        <v>41</v>
      </c>
      <c r="E448" t="s">
        <v>24</v>
      </c>
      <c r="F448">
        <v>32</v>
      </c>
      <c r="G448">
        <v>18662</v>
      </c>
      <c r="H448">
        <v>7</v>
      </c>
      <c r="I448">
        <v>1</v>
      </c>
      <c r="J448" t="s">
        <v>20</v>
      </c>
      <c r="K448" t="s">
        <v>27</v>
      </c>
      <c r="L448" t="s">
        <v>17</v>
      </c>
      <c r="M448">
        <v>223944</v>
      </c>
      <c r="N448" t="s">
        <v>46</v>
      </c>
      <c r="O448" t="s">
        <v>50</v>
      </c>
      <c r="P448" t="s">
        <v>51</v>
      </c>
    </row>
    <row r="449" spans="1:16" x14ac:dyDescent="0.2">
      <c r="A449">
        <v>448</v>
      </c>
      <c r="B449" s="2">
        <v>44256</v>
      </c>
      <c r="C449" t="s">
        <v>28</v>
      </c>
      <c r="D449" t="s">
        <v>29</v>
      </c>
      <c r="E449" t="s">
        <v>24</v>
      </c>
      <c r="F449">
        <v>58</v>
      </c>
      <c r="G449">
        <v>8705</v>
      </c>
      <c r="H449">
        <v>1</v>
      </c>
      <c r="I449">
        <v>1</v>
      </c>
      <c r="J449" t="s">
        <v>20</v>
      </c>
      <c r="K449" t="s">
        <v>16</v>
      </c>
      <c r="L449" t="s">
        <v>25</v>
      </c>
      <c r="M449">
        <v>104460</v>
      </c>
      <c r="N449" t="s">
        <v>47</v>
      </c>
      <c r="O449" t="s">
        <v>54</v>
      </c>
      <c r="P449" t="s">
        <v>51</v>
      </c>
    </row>
    <row r="450" spans="1:16" x14ac:dyDescent="0.2">
      <c r="A450">
        <v>449</v>
      </c>
      <c r="B450" s="2">
        <v>40491</v>
      </c>
      <c r="C450" t="s">
        <v>36</v>
      </c>
      <c r="D450" t="s">
        <v>37</v>
      </c>
      <c r="E450" t="s">
        <v>14</v>
      </c>
      <c r="F450">
        <v>50</v>
      </c>
      <c r="G450">
        <v>10287</v>
      </c>
      <c r="H450">
        <v>13</v>
      </c>
      <c r="I450">
        <v>5</v>
      </c>
      <c r="J450" t="s">
        <v>20</v>
      </c>
      <c r="K450" t="s">
        <v>32</v>
      </c>
      <c r="L450" t="s">
        <v>25</v>
      </c>
      <c r="M450">
        <v>123444</v>
      </c>
      <c r="N450" t="s">
        <v>47</v>
      </c>
      <c r="O450" t="s">
        <v>52</v>
      </c>
      <c r="P450" t="s">
        <v>53</v>
      </c>
    </row>
    <row r="451" spans="1:16" x14ac:dyDescent="0.2">
      <c r="A451">
        <v>450</v>
      </c>
      <c r="B451" s="2">
        <v>40291</v>
      </c>
      <c r="C451" t="s">
        <v>28</v>
      </c>
      <c r="D451" t="s">
        <v>33</v>
      </c>
      <c r="E451" t="s">
        <v>14</v>
      </c>
      <c r="F451">
        <v>43</v>
      </c>
      <c r="G451">
        <v>7808</v>
      </c>
      <c r="H451">
        <v>1</v>
      </c>
      <c r="I451">
        <v>5</v>
      </c>
      <c r="J451" t="s">
        <v>15</v>
      </c>
      <c r="K451" t="s">
        <v>27</v>
      </c>
      <c r="L451" t="s">
        <v>25</v>
      </c>
      <c r="M451">
        <v>93696</v>
      </c>
      <c r="N451" t="s">
        <v>46</v>
      </c>
      <c r="O451" t="s">
        <v>54</v>
      </c>
      <c r="P451" t="s">
        <v>53</v>
      </c>
    </row>
    <row r="452" spans="1:16" x14ac:dyDescent="0.2">
      <c r="A452">
        <v>451</v>
      </c>
      <c r="B452" s="2">
        <v>41401</v>
      </c>
      <c r="C452" t="s">
        <v>36</v>
      </c>
      <c r="D452" t="s">
        <v>37</v>
      </c>
      <c r="E452" t="s">
        <v>14</v>
      </c>
      <c r="F452">
        <v>56</v>
      </c>
      <c r="G452">
        <v>12291</v>
      </c>
      <c r="H452">
        <v>0</v>
      </c>
      <c r="I452">
        <v>1</v>
      </c>
      <c r="J452" t="s">
        <v>15</v>
      </c>
      <c r="K452" t="s">
        <v>32</v>
      </c>
      <c r="L452" t="s">
        <v>21</v>
      </c>
      <c r="M452">
        <v>147492</v>
      </c>
      <c r="N452" t="s">
        <v>47</v>
      </c>
      <c r="O452" t="s">
        <v>54</v>
      </c>
      <c r="P452" t="s">
        <v>51</v>
      </c>
    </row>
    <row r="453" spans="1:16" x14ac:dyDescent="0.2">
      <c r="A453">
        <v>452</v>
      </c>
      <c r="B453" s="2">
        <v>42762</v>
      </c>
      <c r="C453" t="s">
        <v>28</v>
      </c>
      <c r="D453" t="s">
        <v>29</v>
      </c>
      <c r="E453" t="s">
        <v>24</v>
      </c>
      <c r="F453">
        <v>39</v>
      </c>
      <c r="G453">
        <v>19926</v>
      </c>
      <c r="H453">
        <v>12</v>
      </c>
      <c r="I453">
        <v>3</v>
      </c>
      <c r="J453" t="s">
        <v>20</v>
      </c>
      <c r="K453" t="s">
        <v>16</v>
      </c>
      <c r="L453" t="s">
        <v>17</v>
      </c>
      <c r="M453">
        <v>239112</v>
      </c>
      <c r="N453" t="s">
        <v>46</v>
      </c>
      <c r="O453" t="s">
        <v>52</v>
      </c>
      <c r="P453" t="s">
        <v>55</v>
      </c>
    </row>
    <row r="454" spans="1:16" x14ac:dyDescent="0.2">
      <c r="A454">
        <v>453</v>
      </c>
      <c r="B454" s="2">
        <v>41103</v>
      </c>
      <c r="C454" t="s">
        <v>18</v>
      </c>
      <c r="D454" t="s">
        <v>19</v>
      </c>
      <c r="E454" t="s">
        <v>14</v>
      </c>
      <c r="F454">
        <v>30</v>
      </c>
      <c r="G454">
        <v>18982</v>
      </c>
      <c r="H454">
        <v>9</v>
      </c>
      <c r="I454">
        <v>4</v>
      </c>
      <c r="J454" t="s">
        <v>20</v>
      </c>
      <c r="K454" t="s">
        <v>32</v>
      </c>
      <c r="L454" t="s">
        <v>34</v>
      </c>
      <c r="M454">
        <v>227784</v>
      </c>
      <c r="N454" t="s">
        <v>46</v>
      </c>
      <c r="O454" t="s">
        <v>52</v>
      </c>
      <c r="P454" t="s">
        <v>53</v>
      </c>
    </row>
    <row r="455" spans="1:16" x14ac:dyDescent="0.2">
      <c r="A455">
        <v>454</v>
      </c>
      <c r="B455" s="2">
        <v>44389</v>
      </c>
      <c r="C455" t="s">
        <v>22</v>
      </c>
      <c r="D455" t="s">
        <v>35</v>
      </c>
      <c r="E455" t="s">
        <v>14</v>
      </c>
      <c r="F455">
        <v>49</v>
      </c>
      <c r="G455">
        <v>19086</v>
      </c>
      <c r="H455">
        <v>14</v>
      </c>
      <c r="I455">
        <v>2</v>
      </c>
      <c r="J455" t="s">
        <v>15</v>
      </c>
      <c r="K455" t="s">
        <v>16</v>
      </c>
      <c r="L455" t="s">
        <v>34</v>
      </c>
      <c r="M455">
        <v>229032</v>
      </c>
      <c r="N455" t="s">
        <v>47</v>
      </c>
      <c r="O455" t="s">
        <v>52</v>
      </c>
      <c r="P455" t="s">
        <v>51</v>
      </c>
    </row>
    <row r="456" spans="1:16" x14ac:dyDescent="0.2">
      <c r="A456">
        <v>455</v>
      </c>
      <c r="B456" s="2">
        <v>41374</v>
      </c>
      <c r="C456" t="s">
        <v>36</v>
      </c>
      <c r="D456" t="s">
        <v>42</v>
      </c>
      <c r="E456" t="s">
        <v>24</v>
      </c>
      <c r="F456">
        <v>37</v>
      </c>
      <c r="G456">
        <v>9928</v>
      </c>
      <c r="H456">
        <v>2</v>
      </c>
      <c r="I456">
        <v>5</v>
      </c>
      <c r="J456" t="s">
        <v>15</v>
      </c>
      <c r="K456" t="s">
        <v>27</v>
      </c>
      <c r="L456" t="s">
        <v>21</v>
      </c>
      <c r="M456">
        <v>119136</v>
      </c>
      <c r="N456" t="s">
        <v>46</v>
      </c>
      <c r="O456" t="s">
        <v>54</v>
      </c>
      <c r="P456" t="s">
        <v>53</v>
      </c>
    </row>
    <row r="457" spans="1:16" x14ac:dyDescent="0.2">
      <c r="A457">
        <v>456</v>
      </c>
      <c r="B457" s="2">
        <v>41815</v>
      </c>
      <c r="C457" t="s">
        <v>12</v>
      </c>
      <c r="D457" t="s">
        <v>41</v>
      </c>
      <c r="E457" t="s">
        <v>14</v>
      </c>
      <c r="F457">
        <v>59</v>
      </c>
      <c r="G457">
        <v>7761</v>
      </c>
      <c r="H457">
        <v>8</v>
      </c>
      <c r="I457">
        <v>2</v>
      </c>
      <c r="J457" t="s">
        <v>20</v>
      </c>
      <c r="K457" t="s">
        <v>16</v>
      </c>
      <c r="L457" t="s">
        <v>25</v>
      </c>
      <c r="M457">
        <v>93132</v>
      </c>
      <c r="N457" t="s">
        <v>47</v>
      </c>
      <c r="O457" t="s">
        <v>52</v>
      </c>
      <c r="P457" t="s">
        <v>51</v>
      </c>
    </row>
    <row r="458" spans="1:16" x14ac:dyDescent="0.2">
      <c r="A458">
        <v>457</v>
      </c>
      <c r="B458" s="2">
        <v>43580</v>
      </c>
      <c r="C458" t="s">
        <v>18</v>
      </c>
      <c r="D458" t="s">
        <v>26</v>
      </c>
      <c r="E458" t="s">
        <v>14</v>
      </c>
      <c r="F458">
        <v>35</v>
      </c>
      <c r="G458">
        <v>16124</v>
      </c>
      <c r="H458">
        <v>13</v>
      </c>
      <c r="I458">
        <v>2</v>
      </c>
      <c r="J458" t="s">
        <v>15</v>
      </c>
      <c r="K458" t="s">
        <v>27</v>
      </c>
      <c r="L458" t="s">
        <v>25</v>
      </c>
      <c r="M458">
        <v>193488</v>
      </c>
      <c r="N458" t="s">
        <v>46</v>
      </c>
      <c r="O458" t="s">
        <v>52</v>
      </c>
      <c r="P458" t="s">
        <v>51</v>
      </c>
    </row>
    <row r="459" spans="1:16" x14ac:dyDescent="0.2">
      <c r="A459">
        <v>458</v>
      </c>
      <c r="B459" s="2">
        <v>44424</v>
      </c>
      <c r="C459" t="s">
        <v>30</v>
      </c>
      <c r="D459" t="s">
        <v>38</v>
      </c>
      <c r="E459" t="s">
        <v>14</v>
      </c>
      <c r="F459">
        <v>38</v>
      </c>
      <c r="G459">
        <v>4694</v>
      </c>
      <c r="H459">
        <v>7</v>
      </c>
      <c r="I459">
        <v>5</v>
      </c>
      <c r="J459" t="s">
        <v>20</v>
      </c>
      <c r="K459" t="s">
        <v>32</v>
      </c>
      <c r="L459" t="s">
        <v>17</v>
      </c>
      <c r="M459">
        <v>56328</v>
      </c>
      <c r="N459" t="s">
        <v>46</v>
      </c>
      <c r="O459" t="s">
        <v>50</v>
      </c>
      <c r="P459" t="s">
        <v>53</v>
      </c>
    </row>
    <row r="460" spans="1:16" x14ac:dyDescent="0.2">
      <c r="A460">
        <v>459</v>
      </c>
      <c r="B460" s="2">
        <v>40920</v>
      </c>
      <c r="C460" t="s">
        <v>36</v>
      </c>
      <c r="D460" t="s">
        <v>42</v>
      </c>
      <c r="E460" t="s">
        <v>24</v>
      </c>
      <c r="F460">
        <v>54</v>
      </c>
      <c r="G460">
        <v>8625</v>
      </c>
      <c r="H460">
        <v>9</v>
      </c>
      <c r="I460">
        <v>4</v>
      </c>
      <c r="J460" t="s">
        <v>20</v>
      </c>
      <c r="K460" t="s">
        <v>27</v>
      </c>
      <c r="L460" t="s">
        <v>25</v>
      </c>
      <c r="M460">
        <v>103500</v>
      </c>
      <c r="N460" t="s">
        <v>47</v>
      </c>
      <c r="O460" t="s">
        <v>52</v>
      </c>
      <c r="P460" t="s">
        <v>53</v>
      </c>
    </row>
    <row r="461" spans="1:16" x14ac:dyDescent="0.2">
      <c r="A461">
        <v>460</v>
      </c>
      <c r="B461" s="2">
        <v>41362</v>
      </c>
      <c r="C461" t="s">
        <v>28</v>
      </c>
      <c r="D461" t="s">
        <v>29</v>
      </c>
      <c r="E461" t="s">
        <v>14</v>
      </c>
      <c r="F461">
        <v>27</v>
      </c>
      <c r="G461">
        <v>15360</v>
      </c>
      <c r="H461">
        <v>0</v>
      </c>
      <c r="I461">
        <v>3</v>
      </c>
      <c r="J461" t="s">
        <v>20</v>
      </c>
      <c r="K461" t="s">
        <v>16</v>
      </c>
      <c r="L461" t="s">
        <v>25</v>
      </c>
      <c r="M461">
        <v>184320</v>
      </c>
      <c r="N461" t="s">
        <v>45</v>
      </c>
      <c r="O461" t="s">
        <v>54</v>
      </c>
      <c r="P461" t="s">
        <v>55</v>
      </c>
    </row>
    <row r="462" spans="1:16" x14ac:dyDescent="0.2">
      <c r="A462">
        <v>461</v>
      </c>
      <c r="B462" s="2">
        <v>44759</v>
      </c>
      <c r="C462" t="s">
        <v>36</v>
      </c>
      <c r="D462" t="s">
        <v>37</v>
      </c>
      <c r="E462" t="s">
        <v>14</v>
      </c>
      <c r="F462">
        <v>37</v>
      </c>
      <c r="G462">
        <v>11488</v>
      </c>
      <c r="H462">
        <v>9</v>
      </c>
      <c r="I462">
        <v>2</v>
      </c>
      <c r="J462" t="s">
        <v>20</v>
      </c>
      <c r="K462" t="s">
        <v>27</v>
      </c>
      <c r="L462" t="s">
        <v>17</v>
      </c>
      <c r="M462">
        <v>137856</v>
      </c>
      <c r="N462" t="s">
        <v>46</v>
      </c>
      <c r="O462" t="s">
        <v>52</v>
      </c>
      <c r="P462" t="s">
        <v>51</v>
      </c>
    </row>
    <row r="463" spans="1:16" x14ac:dyDescent="0.2">
      <c r="A463">
        <v>462</v>
      </c>
      <c r="B463" s="2">
        <v>44179</v>
      </c>
      <c r="C463" t="s">
        <v>30</v>
      </c>
      <c r="D463" t="s">
        <v>31</v>
      </c>
      <c r="E463" t="s">
        <v>14</v>
      </c>
      <c r="F463">
        <v>33</v>
      </c>
      <c r="G463">
        <v>10553</v>
      </c>
      <c r="H463">
        <v>8</v>
      </c>
      <c r="I463">
        <v>5</v>
      </c>
      <c r="J463" t="s">
        <v>15</v>
      </c>
      <c r="K463" t="s">
        <v>32</v>
      </c>
      <c r="L463" t="s">
        <v>34</v>
      </c>
      <c r="M463">
        <v>126636</v>
      </c>
      <c r="N463" t="s">
        <v>46</v>
      </c>
      <c r="O463" t="s">
        <v>52</v>
      </c>
      <c r="P463" t="s">
        <v>53</v>
      </c>
    </row>
    <row r="464" spans="1:16" x14ac:dyDescent="0.2">
      <c r="A464">
        <v>463</v>
      </c>
      <c r="B464" s="2">
        <v>44574</v>
      </c>
      <c r="C464" t="s">
        <v>36</v>
      </c>
      <c r="D464" t="s">
        <v>40</v>
      </c>
      <c r="E464" t="s">
        <v>14</v>
      </c>
      <c r="F464">
        <v>44</v>
      </c>
      <c r="G464">
        <v>6239</v>
      </c>
      <c r="H464">
        <v>13</v>
      </c>
      <c r="I464">
        <v>1</v>
      </c>
      <c r="J464" t="s">
        <v>20</v>
      </c>
      <c r="K464" t="s">
        <v>27</v>
      </c>
      <c r="L464" t="s">
        <v>17</v>
      </c>
      <c r="M464">
        <v>74868</v>
      </c>
      <c r="N464" t="s">
        <v>46</v>
      </c>
      <c r="O464" t="s">
        <v>52</v>
      </c>
      <c r="P464" t="s">
        <v>51</v>
      </c>
    </row>
    <row r="465" spans="1:16" x14ac:dyDescent="0.2">
      <c r="A465">
        <v>464</v>
      </c>
      <c r="B465" s="2">
        <v>43592</v>
      </c>
      <c r="C465" t="s">
        <v>22</v>
      </c>
      <c r="D465" t="s">
        <v>23</v>
      </c>
      <c r="E465" t="s">
        <v>14</v>
      </c>
      <c r="F465">
        <v>28</v>
      </c>
      <c r="G465">
        <v>6778</v>
      </c>
      <c r="H465">
        <v>4</v>
      </c>
      <c r="I465">
        <v>2</v>
      </c>
      <c r="J465" t="s">
        <v>15</v>
      </c>
      <c r="K465" t="s">
        <v>32</v>
      </c>
      <c r="L465" t="s">
        <v>17</v>
      </c>
      <c r="M465">
        <v>81336</v>
      </c>
      <c r="N465" t="s">
        <v>45</v>
      </c>
      <c r="O465" t="s">
        <v>50</v>
      </c>
      <c r="P465" t="s">
        <v>51</v>
      </c>
    </row>
    <row r="466" spans="1:16" x14ac:dyDescent="0.2">
      <c r="A466">
        <v>465</v>
      </c>
      <c r="B466" s="2">
        <v>44226</v>
      </c>
      <c r="C466" t="s">
        <v>28</v>
      </c>
      <c r="D466" t="s">
        <v>33</v>
      </c>
      <c r="E466" t="s">
        <v>24</v>
      </c>
      <c r="F466">
        <v>42</v>
      </c>
      <c r="G466">
        <v>11508</v>
      </c>
      <c r="H466">
        <v>7</v>
      </c>
      <c r="I466">
        <v>3</v>
      </c>
      <c r="J466" t="s">
        <v>15</v>
      </c>
      <c r="K466" t="s">
        <v>16</v>
      </c>
      <c r="L466" t="s">
        <v>34</v>
      </c>
      <c r="M466">
        <v>138096</v>
      </c>
      <c r="N466" t="s">
        <v>46</v>
      </c>
      <c r="O466" t="s">
        <v>50</v>
      </c>
      <c r="P466" t="s">
        <v>55</v>
      </c>
    </row>
    <row r="467" spans="1:16" x14ac:dyDescent="0.2">
      <c r="A467">
        <v>466</v>
      </c>
      <c r="B467" s="2">
        <v>41018</v>
      </c>
      <c r="C467" t="s">
        <v>12</v>
      </c>
      <c r="D467" t="s">
        <v>13</v>
      </c>
      <c r="E467" t="s">
        <v>24</v>
      </c>
      <c r="F467">
        <v>31</v>
      </c>
      <c r="G467">
        <v>13081</v>
      </c>
      <c r="H467">
        <v>7</v>
      </c>
      <c r="I467">
        <v>1</v>
      </c>
      <c r="J467" t="s">
        <v>20</v>
      </c>
      <c r="K467" t="s">
        <v>16</v>
      </c>
      <c r="L467" t="s">
        <v>21</v>
      </c>
      <c r="M467">
        <v>156972</v>
      </c>
      <c r="N467" t="s">
        <v>46</v>
      </c>
      <c r="O467" t="s">
        <v>50</v>
      </c>
      <c r="P467" t="s">
        <v>51</v>
      </c>
    </row>
    <row r="468" spans="1:16" x14ac:dyDescent="0.2">
      <c r="A468">
        <v>467</v>
      </c>
      <c r="B468" s="2">
        <v>44977</v>
      </c>
      <c r="C468" t="s">
        <v>18</v>
      </c>
      <c r="D468" t="s">
        <v>19</v>
      </c>
      <c r="E468" t="s">
        <v>24</v>
      </c>
      <c r="F468">
        <v>28</v>
      </c>
      <c r="G468">
        <v>11808</v>
      </c>
      <c r="H468">
        <v>8</v>
      </c>
      <c r="I468">
        <v>4</v>
      </c>
      <c r="J468" t="s">
        <v>20</v>
      </c>
      <c r="K468" t="s">
        <v>27</v>
      </c>
      <c r="L468" t="s">
        <v>25</v>
      </c>
      <c r="M468">
        <v>141696</v>
      </c>
      <c r="N468" t="s">
        <v>45</v>
      </c>
      <c r="O468" t="s">
        <v>52</v>
      </c>
      <c r="P468" t="s">
        <v>53</v>
      </c>
    </row>
    <row r="469" spans="1:16" x14ac:dyDescent="0.2">
      <c r="A469">
        <v>468</v>
      </c>
      <c r="B469" s="2">
        <v>41390</v>
      </c>
      <c r="C469" t="s">
        <v>30</v>
      </c>
      <c r="D469" t="s">
        <v>38</v>
      </c>
      <c r="E469" t="s">
        <v>24</v>
      </c>
      <c r="F469">
        <v>28</v>
      </c>
      <c r="G469">
        <v>4915</v>
      </c>
      <c r="H469">
        <v>8</v>
      </c>
      <c r="I469">
        <v>2</v>
      </c>
      <c r="J469" t="s">
        <v>20</v>
      </c>
      <c r="K469" t="s">
        <v>27</v>
      </c>
      <c r="L469" t="s">
        <v>34</v>
      </c>
      <c r="M469">
        <v>58980</v>
      </c>
      <c r="N469" t="s">
        <v>45</v>
      </c>
      <c r="O469" t="s">
        <v>52</v>
      </c>
      <c r="P469" t="s">
        <v>51</v>
      </c>
    </row>
    <row r="470" spans="1:16" x14ac:dyDescent="0.2">
      <c r="A470">
        <v>469</v>
      </c>
      <c r="B470" s="2">
        <v>44732</v>
      </c>
      <c r="C470" t="s">
        <v>18</v>
      </c>
      <c r="D470" t="s">
        <v>19</v>
      </c>
      <c r="E470" t="s">
        <v>24</v>
      </c>
      <c r="F470">
        <v>45</v>
      </c>
      <c r="G470">
        <v>7468</v>
      </c>
      <c r="H470">
        <v>7</v>
      </c>
      <c r="I470">
        <v>5</v>
      </c>
      <c r="J470" t="s">
        <v>20</v>
      </c>
      <c r="K470" t="s">
        <v>16</v>
      </c>
      <c r="L470" t="s">
        <v>39</v>
      </c>
      <c r="M470">
        <v>89616</v>
      </c>
      <c r="N470" t="s">
        <v>46</v>
      </c>
      <c r="O470" t="s">
        <v>50</v>
      </c>
      <c r="P470" t="s">
        <v>53</v>
      </c>
    </row>
    <row r="471" spans="1:16" x14ac:dyDescent="0.2">
      <c r="A471">
        <v>470</v>
      </c>
      <c r="B471" s="2">
        <v>42467</v>
      </c>
      <c r="C471" t="s">
        <v>30</v>
      </c>
      <c r="D471" t="s">
        <v>38</v>
      </c>
      <c r="E471" t="s">
        <v>14</v>
      </c>
      <c r="F471">
        <v>49</v>
      </c>
      <c r="G471">
        <v>7897</v>
      </c>
      <c r="H471">
        <v>5</v>
      </c>
      <c r="I471">
        <v>5</v>
      </c>
      <c r="J471" t="s">
        <v>20</v>
      </c>
      <c r="K471" t="s">
        <v>27</v>
      </c>
      <c r="L471" t="s">
        <v>25</v>
      </c>
      <c r="M471">
        <v>94764</v>
      </c>
      <c r="N471" t="s">
        <v>47</v>
      </c>
      <c r="O471" t="s">
        <v>50</v>
      </c>
      <c r="P471" t="s">
        <v>53</v>
      </c>
    </row>
    <row r="472" spans="1:16" x14ac:dyDescent="0.2">
      <c r="A472">
        <v>471</v>
      </c>
      <c r="B472" s="2">
        <v>43679</v>
      </c>
      <c r="C472" t="s">
        <v>36</v>
      </c>
      <c r="D472" t="s">
        <v>37</v>
      </c>
      <c r="E472" t="s">
        <v>24</v>
      </c>
      <c r="F472">
        <v>38</v>
      </c>
      <c r="G472">
        <v>8272</v>
      </c>
      <c r="H472">
        <v>7</v>
      </c>
      <c r="I472">
        <v>2</v>
      </c>
      <c r="J472" t="s">
        <v>20</v>
      </c>
      <c r="K472" t="s">
        <v>27</v>
      </c>
      <c r="L472" t="s">
        <v>21</v>
      </c>
      <c r="M472">
        <v>99264</v>
      </c>
      <c r="N472" t="s">
        <v>46</v>
      </c>
      <c r="O472" t="s">
        <v>50</v>
      </c>
      <c r="P472" t="s">
        <v>51</v>
      </c>
    </row>
    <row r="473" spans="1:16" x14ac:dyDescent="0.2">
      <c r="A473">
        <v>472</v>
      </c>
      <c r="B473" s="2">
        <v>40607</v>
      </c>
      <c r="C473" t="s">
        <v>18</v>
      </c>
      <c r="D473" t="s">
        <v>19</v>
      </c>
      <c r="E473" t="s">
        <v>14</v>
      </c>
      <c r="F473">
        <v>22</v>
      </c>
      <c r="G473">
        <v>18818</v>
      </c>
      <c r="H473">
        <v>6</v>
      </c>
      <c r="I473">
        <v>2</v>
      </c>
      <c r="J473" t="s">
        <v>15</v>
      </c>
      <c r="K473" t="s">
        <v>32</v>
      </c>
      <c r="L473" t="s">
        <v>17</v>
      </c>
      <c r="M473">
        <v>225816</v>
      </c>
      <c r="N473" t="s">
        <v>45</v>
      </c>
      <c r="O473" t="s">
        <v>50</v>
      </c>
      <c r="P473" t="s">
        <v>51</v>
      </c>
    </row>
    <row r="474" spans="1:16" x14ac:dyDescent="0.2">
      <c r="A474">
        <v>473</v>
      </c>
      <c r="B474" s="2">
        <v>40379</v>
      </c>
      <c r="C474" t="s">
        <v>22</v>
      </c>
      <c r="D474" t="s">
        <v>35</v>
      </c>
      <c r="E474" t="s">
        <v>24</v>
      </c>
      <c r="F474">
        <v>46</v>
      </c>
      <c r="G474">
        <v>15249</v>
      </c>
      <c r="H474">
        <v>5</v>
      </c>
      <c r="I474">
        <v>5</v>
      </c>
      <c r="J474" t="s">
        <v>20</v>
      </c>
      <c r="K474" t="s">
        <v>16</v>
      </c>
      <c r="L474" t="s">
        <v>25</v>
      </c>
      <c r="M474">
        <v>182988</v>
      </c>
      <c r="N474" t="s">
        <v>47</v>
      </c>
      <c r="O474" t="s">
        <v>50</v>
      </c>
      <c r="P474" t="s">
        <v>53</v>
      </c>
    </row>
    <row r="475" spans="1:16" x14ac:dyDescent="0.2">
      <c r="A475">
        <v>474</v>
      </c>
      <c r="B475" s="2">
        <v>45112</v>
      </c>
      <c r="C475" t="s">
        <v>22</v>
      </c>
      <c r="D475" t="s">
        <v>35</v>
      </c>
      <c r="E475" t="s">
        <v>24</v>
      </c>
      <c r="F475">
        <v>22</v>
      </c>
      <c r="G475">
        <v>5791</v>
      </c>
      <c r="H475">
        <v>4</v>
      </c>
      <c r="I475">
        <v>1</v>
      </c>
      <c r="J475" t="s">
        <v>15</v>
      </c>
      <c r="K475" t="s">
        <v>32</v>
      </c>
      <c r="L475" t="s">
        <v>21</v>
      </c>
      <c r="M475">
        <v>69492</v>
      </c>
      <c r="N475" t="s">
        <v>45</v>
      </c>
      <c r="O475" t="s">
        <v>50</v>
      </c>
      <c r="P475" t="s">
        <v>51</v>
      </c>
    </row>
    <row r="476" spans="1:16" x14ac:dyDescent="0.2">
      <c r="A476">
        <v>475</v>
      </c>
      <c r="B476" s="2">
        <v>44427</v>
      </c>
      <c r="C476" t="s">
        <v>12</v>
      </c>
      <c r="D476" t="s">
        <v>13</v>
      </c>
      <c r="E476" t="s">
        <v>24</v>
      </c>
      <c r="F476">
        <v>32</v>
      </c>
      <c r="G476">
        <v>7233</v>
      </c>
      <c r="H476">
        <v>1</v>
      </c>
      <c r="I476">
        <v>5</v>
      </c>
      <c r="J476" t="s">
        <v>20</v>
      </c>
      <c r="K476" t="s">
        <v>16</v>
      </c>
      <c r="L476" t="s">
        <v>39</v>
      </c>
      <c r="M476">
        <v>86796</v>
      </c>
      <c r="N476" t="s">
        <v>46</v>
      </c>
      <c r="O476" t="s">
        <v>54</v>
      </c>
      <c r="P476" t="s">
        <v>53</v>
      </c>
    </row>
    <row r="477" spans="1:16" x14ac:dyDescent="0.2">
      <c r="A477">
        <v>476</v>
      </c>
      <c r="B477" s="2">
        <v>41014</v>
      </c>
      <c r="C477" t="s">
        <v>22</v>
      </c>
      <c r="D477" t="s">
        <v>35</v>
      </c>
      <c r="E477" t="s">
        <v>14</v>
      </c>
      <c r="F477">
        <v>29</v>
      </c>
      <c r="G477">
        <v>19860</v>
      </c>
      <c r="H477">
        <v>5</v>
      </c>
      <c r="I477">
        <v>3</v>
      </c>
      <c r="J477" t="s">
        <v>20</v>
      </c>
      <c r="K477" t="s">
        <v>32</v>
      </c>
      <c r="L477" t="s">
        <v>21</v>
      </c>
      <c r="M477">
        <v>238320</v>
      </c>
      <c r="N477" t="s">
        <v>45</v>
      </c>
      <c r="O477" t="s">
        <v>50</v>
      </c>
      <c r="P477" t="s">
        <v>55</v>
      </c>
    </row>
    <row r="478" spans="1:16" x14ac:dyDescent="0.2">
      <c r="A478">
        <v>477</v>
      </c>
      <c r="B478" s="2">
        <v>44350</v>
      </c>
      <c r="C478" t="s">
        <v>12</v>
      </c>
      <c r="D478" t="s">
        <v>41</v>
      </c>
      <c r="E478" t="s">
        <v>14</v>
      </c>
      <c r="F478">
        <v>52</v>
      </c>
      <c r="G478">
        <v>9371</v>
      </c>
      <c r="H478">
        <v>4</v>
      </c>
      <c r="I478">
        <v>5</v>
      </c>
      <c r="J478" t="s">
        <v>20</v>
      </c>
      <c r="K478" t="s">
        <v>16</v>
      </c>
      <c r="L478" t="s">
        <v>34</v>
      </c>
      <c r="M478">
        <v>112452</v>
      </c>
      <c r="N478" t="s">
        <v>47</v>
      </c>
      <c r="O478" t="s">
        <v>50</v>
      </c>
      <c r="P478" t="s">
        <v>53</v>
      </c>
    </row>
    <row r="479" spans="1:16" x14ac:dyDescent="0.2">
      <c r="A479">
        <v>478</v>
      </c>
      <c r="B479" s="2">
        <v>44244</v>
      </c>
      <c r="C479" t="s">
        <v>22</v>
      </c>
      <c r="D479" t="s">
        <v>35</v>
      </c>
      <c r="E479" t="s">
        <v>14</v>
      </c>
      <c r="F479">
        <v>50</v>
      </c>
      <c r="G479">
        <v>13549</v>
      </c>
      <c r="H479">
        <v>5</v>
      </c>
      <c r="I479">
        <v>5</v>
      </c>
      <c r="J479" t="s">
        <v>20</v>
      </c>
      <c r="K479" t="s">
        <v>27</v>
      </c>
      <c r="L479" t="s">
        <v>25</v>
      </c>
      <c r="M479">
        <v>162588</v>
      </c>
      <c r="N479" t="s">
        <v>47</v>
      </c>
      <c r="O479" t="s">
        <v>50</v>
      </c>
      <c r="P479" t="s">
        <v>53</v>
      </c>
    </row>
    <row r="480" spans="1:16" x14ac:dyDescent="0.2">
      <c r="A480">
        <v>479</v>
      </c>
      <c r="B480" s="2">
        <v>41042</v>
      </c>
      <c r="C480" t="s">
        <v>36</v>
      </c>
      <c r="D480" t="s">
        <v>42</v>
      </c>
      <c r="E480" t="s">
        <v>24</v>
      </c>
      <c r="F480">
        <v>51</v>
      </c>
      <c r="G480">
        <v>6147</v>
      </c>
      <c r="H480">
        <v>11</v>
      </c>
      <c r="I480">
        <v>4</v>
      </c>
      <c r="J480" t="s">
        <v>20</v>
      </c>
      <c r="K480" t="s">
        <v>27</v>
      </c>
      <c r="L480" t="s">
        <v>21</v>
      </c>
      <c r="M480">
        <v>73764</v>
      </c>
      <c r="N480" t="s">
        <v>47</v>
      </c>
      <c r="O480" t="s">
        <v>52</v>
      </c>
      <c r="P480" t="s">
        <v>53</v>
      </c>
    </row>
    <row r="481" spans="1:16" x14ac:dyDescent="0.2">
      <c r="A481">
        <v>480</v>
      </c>
      <c r="B481" s="2">
        <v>44979</v>
      </c>
      <c r="C481" t="s">
        <v>12</v>
      </c>
      <c r="D481" t="s">
        <v>41</v>
      </c>
      <c r="E481" t="s">
        <v>14</v>
      </c>
      <c r="F481">
        <v>50</v>
      </c>
      <c r="G481">
        <v>7651</v>
      </c>
      <c r="H481">
        <v>0</v>
      </c>
      <c r="I481">
        <v>4</v>
      </c>
      <c r="J481" t="s">
        <v>15</v>
      </c>
      <c r="K481" t="s">
        <v>16</v>
      </c>
      <c r="L481" t="s">
        <v>17</v>
      </c>
      <c r="M481">
        <v>91812</v>
      </c>
      <c r="N481" t="s">
        <v>47</v>
      </c>
      <c r="O481" t="s">
        <v>54</v>
      </c>
      <c r="P481" t="s">
        <v>53</v>
      </c>
    </row>
    <row r="482" spans="1:16" x14ac:dyDescent="0.2">
      <c r="A482">
        <v>481</v>
      </c>
      <c r="B482" s="2">
        <v>44377</v>
      </c>
      <c r="C482" t="s">
        <v>28</v>
      </c>
      <c r="D482" t="s">
        <v>29</v>
      </c>
      <c r="E482" t="s">
        <v>14</v>
      </c>
      <c r="F482">
        <v>29</v>
      </c>
      <c r="G482">
        <v>14699</v>
      </c>
      <c r="H482">
        <v>14</v>
      </c>
      <c r="I482">
        <v>5</v>
      </c>
      <c r="J482" t="s">
        <v>20</v>
      </c>
      <c r="K482" t="s">
        <v>27</v>
      </c>
      <c r="L482" t="s">
        <v>39</v>
      </c>
      <c r="M482">
        <v>176388</v>
      </c>
      <c r="N482" t="s">
        <v>45</v>
      </c>
      <c r="O482" t="s">
        <v>52</v>
      </c>
      <c r="P482" t="s">
        <v>53</v>
      </c>
    </row>
    <row r="483" spans="1:16" x14ac:dyDescent="0.2">
      <c r="A483">
        <v>482</v>
      </c>
      <c r="B483" s="2">
        <v>44930</v>
      </c>
      <c r="C483" t="s">
        <v>36</v>
      </c>
      <c r="D483" t="s">
        <v>42</v>
      </c>
      <c r="E483" t="s">
        <v>14</v>
      </c>
      <c r="F483">
        <v>51</v>
      </c>
      <c r="G483">
        <v>16335</v>
      </c>
      <c r="H483">
        <v>5</v>
      </c>
      <c r="I483">
        <v>4</v>
      </c>
      <c r="J483" t="s">
        <v>15</v>
      </c>
      <c r="K483" t="s">
        <v>16</v>
      </c>
      <c r="L483" t="s">
        <v>17</v>
      </c>
      <c r="M483">
        <v>196020</v>
      </c>
      <c r="N483" t="s">
        <v>47</v>
      </c>
      <c r="O483" t="s">
        <v>50</v>
      </c>
      <c r="P483" t="s">
        <v>53</v>
      </c>
    </row>
    <row r="484" spans="1:16" x14ac:dyDescent="0.2">
      <c r="A484">
        <v>483</v>
      </c>
      <c r="B484" s="2">
        <v>40720</v>
      </c>
      <c r="C484" t="s">
        <v>22</v>
      </c>
      <c r="D484" t="s">
        <v>35</v>
      </c>
      <c r="E484" t="s">
        <v>14</v>
      </c>
      <c r="F484">
        <v>41</v>
      </c>
      <c r="G484">
        <v>12187</v>
      </c>
      <c r="H484">
        <v>15</v>
      </c>
      <c r="I484">
        <v>1</v>
      </c>
      <c r="J484" t="s">
        <v>15</v>
      </c>
      <c r="K484" t="s">
        <v>16</v>
      </c>
      <c r="L484" t="s">
        <v>17</v>
      </c>
      <c r="M484">
        <v>146244</v>
      </c>
      <c r="N484" t="s">
        <v>46</v>
      </c>
      <c r="O484" t="s">
        <v>52</v>
      </c>
      <c r="P484" t="s">
        <v>51</v>
      </c>
    </row>
    <row r="485" spans="1:16" x14ac:dyDescent="0.2">
      <c r="A485">
        <v>484</v>
      </c>
      <c r="B485" s="2">
        <v>42024</v>
      </c>
      <c r="C485" t="s">
        <v>28</v>
      </c>
      <c r="D485" t="s">
        <v>33</v>
      </c>
      <c r="E485" t="s">
        <v>14</v>
      </c>
      <c r="F485">
        <v>26</v>
      </c>
      <c r="G485">
        <v>5044</v>
      </c>
      <c r="H485">
        <v>3</v>
      </c>
      <c r="I485">
        <v>3</v>
      </c>
      <c r="J485" t="s">
        <v>20</v>
      </c>
      <c r="K485" t="s">
        <v>16</v>
      </c>
      <c r="L485" t="s">
        <v>25</v>
      </c>
      <c r="M485">
        <v>60528</v>
      </c>
      <c r="N485" t="s">
        <v>45</v>
      </c>
      <c r="O485" t="s">
        <v>50</v>
      </c>
      <c r="P485" t="s">
        <v>55</v>
      </c>
    </row>
    <row r="486" spans="1:16" x14ac:dyDescent="0.2">
      <c r="A486">
        <v>485</v>
      </c>
      <c r="B486" s="2">
        <v>44553</v>
      </c>
      <c r="C486" t="s">
        <v>12</v>
      </c>
      <c r="D486" t="s">
        <v>13</v>
      </c>
      <c r="E486" t="s">
        <v>14</v>
      </c>
      <c r="F486">
        <v>22</v>
      </c>
      <c r="G486">
        <v>6783</v>
      </c>
      <c r="H486">
        <v>11</v>
      </c>
      <c r="I486">
        <v>4</v>
      </c>
      <c r="J486" t="s">
        <v>20</v>
      </c>
      <c r="K486" t="s">
        <v>32</v>
      </c>
      <c r="L486" t="s">
        <v>34</v>
      </c>
      <c r="M486">
        <v>81396</v>
      </c>
      <c r="N486" t="s">
        <v>45</v>
      </c>
      <c r="O486" t="s">
        <v>52</v>
      </c>
      <c r="P486" t="s">
        <v>53</v>
      </c>
    </row>
    <row r="487" spans="1:16" x14ac:dyDescent="0.2">
      <c r="A487">
        <v>486</v>
      </c>
      <c r="B487" s="2">
        <v>44199</v>
      </c>
      <c r="C487" t="s">
        <v>28</v>
      </c>
      <c r="D487" t="s">
        <v>29</v>
      </c>
      <c r="E487" t="s">
        <v>24</v>
      </c>
      <c r="F487">
        <v>39</v>
      </c>
      <c r="G487">
        <v>15711</v>
      </c>
      <c r="H487">
        <v>11</v>
      </c>
      <c r="I487">
        <v>2</v>
      </c>
      <c r="J487" t="s">
        <v>15</v>
      </c>
      <c r="K487" t="s">
        <v>16</v>
      </c>
      <c r="L487" t="s">
        <v>21</v>
      </c>
      <c r="M487">
        <v>188532</v>
      </c>
      <c r="N487" t="s">
        <v>46</v>
      </c>
      <c r="O487" t="s">
        <v>52</v>
      </c>
      <c r="P487" t="s">
        <v>51</v>
      </c>
    </row>
    <row r="488" spans="1:16" x14ac:dyDescent="0.2">
      <c r="A488">
        <v>487</v>
      </c>
      <c r="B488" s="2">
        <v>43257</v>
      </c>
      <c r="C488" t="s">
        <v>18</v>
      </c>
      <c r="D488" t="s">
        <v>19</v>
      </c>
      <c r="E488" t="s">
        <v>24</v>
      </c>
      <c r="F488">
        <v>41</v>
      </c>
      <c r="G488">
        <v>9501</v>
      </c>
      <c r="H488">
        <v>4</v>
      </c>
      <c r="I488">
        <v>3</v>
      </c>
      <c r="J488" t="s">
        <v>20</v>
      </c>
      <c r="K488" t="s">
        <v>27</v>
      </c>
      <c r="L488" t="s">
        <v>39</v>
      </c>
      <c r="M488">
        <v>114012</v>
      </c>
      <c r="N488" t="s">
        <v>46</v>
      </c>
      <c r="O488" t="s">
        <v>50</v>
      </c>
      <c r="P488" t="s">
        <v>55</v>
      </c>
    </row>
    <row r="489" spans="1:16" x14ac:dyDescent="0.2">
      <c r="A489">
        <v>488</v>
      </c>
      <c r="B489" s="2">
        <v>44096</v>
      </c>
      <c r="C489" t="s">
        <v>22</v>
      </c>
      <c r="D489" t="s">
        <v>23</v>
      </c>
      <c r="E489" t="s">
        <v>14</v>
      </c>
      <c r="F489">
        <v>41</v>
      </c>
      <c r="G489">
        <v>9349</v>
      </c>
      <c r="H489">
        <v>12</v>
      </c>
      <c r="I489">
        <v>4</v>
      </c>
      <c r="J489" t="s">
        <v>20</v>
      </c>
      <c r="K489" t="s">
        <v>27</v>
      </c>
      <c r="L489" t="s">
        <v>25</v>
      </c>
      <c r="M489">
        <v>112188</v>
      </c>
      <c r="N489" t="s">
        <v>46</v>
      </c>
      <c r="O489" t="s">
        <v>52</v>
      </c>
      <c r="P489" t="s">
        <v>53</v>
      </c>
    </row>
    <row r="490" spans="1:16" x14ac:dyDescent="0.2">
      <c r="A490">
        <v>489</v>
      </c>
      <c r="B490" s="2">
        <v>42642</v>
      </c>
      <c r="C490" t="s">
        <v>18</v>
      </c>
      <c r="D490" t="s">
        <v>19</v>
      </c>
      <c r="E490" t="s">
        <v>24</v>
      </c>
      <c r="F490">
        <v>60</v>
      </c>
      <c r="G490">
        <v>4897</v>
      </c>
      <c r="H490">
        <v>13</v>
      </c>
      <c r="I490">
        <v>5</v>
      </c>
      <c r="J490" t="s">
        <v>20</v>
      </c>
      <c r="K490" t="s">
        <v>32</v>
      </c>
      <c r="L490" t="s">
        <v>17</v>
      </c>
      <c r="M490">
        <v>58764</v>
      </c>
      <c r="N490" t="s">
        <v>47</v>
      </c>
      <c r="O490" t="s">
        <v>52</v>
      </c>
      <c r="P490" t="s">
        <v>53</v>
      </c>
    </row>
    <row r="491" spans="1:16" x14ac:dyDescent="0.2">
      <c r="A491">
        <v>490</v>
      </c>
      <c r="B491" s="2">
        <v>42114</v>
      </c>
      <c r="C491" t="s">
        <v>28</v>
      </c>
      <c r="D491" t="s">
        <v>29</v>
      </c>
      <c r="E491" t="s">
        <v>14</v>
      </c>
      <c r="F491">
        <v>56</v>
      </c>
      <c r="G491">
        <v>7244</v>
      </c>
      <c r="H491">
        <v>13</v>
      </c>
      <c r="I491">
        <v>1</v>
      </c>
      <c r="J491" t="s">
        <v>20</v>
      </c>
      <c r="K491" t="s">
        <v>16</v>
      </c>
      <c r="L491" t="s">
        <v>21</v>
      </c>
      <c r="M491">
        <v>86928</v>
      </c>
      <c r="N491" t="s">
        <v>47</v>
      </c>
      <c r="O491" t="s">
        <v>52</v>
      </c>
      <c r="P491" t="s">
        <v>51</v>
      </c>
    </row>
    <row r="492" spans="1:16" x14ac:dyDescent="0.2">
      <c r="A492">
        <v>491</v>
      </c>
      <c r="B492" s="2">
        <v>42146</v>
      </c>
      <c r="C492" t="s">
        <v>12</v>
      </c>
      <c r="D492" t="s">
        <v>13</v>
      </c>
      <c r="E492" t="s">
        <v>14</v>
      </c>
      <c r="F492">
        <v>59</v>
      </c>
      <c r="G492">
        <v>7279</v>
      </c>
      <c r="H492">
        <v>12</v>
      </c>
      <c r="I492">
        <v>4</v>
      </c>
      <c r="J492" t="s">
        <v>20</v>
      </c>
      <c r="K492" t="s">
        <v>27</v>
      </c>
      <c r="L492" t="s">
        <v>25</v>
      </c>
      <c r="M492">
        <v>87348</v>
      </c>
      <c r="N492" t="s">
        <v>47</v>
      </c>
      <c r="O492" t="s">
        <v>52</v>
      </c>
      <c r="P492" t="s">
        <v>53</v>
      </c>
    </row>
    <row r="493" spans="1:16" x14ac:dyDescent="0.2">
      <c r="A493">
        <v>492</v>
      </c>
      <c r="B493" s="2">
        <v>41145</v>
      </c>
      <c r="C493" t="s">
        <v>18</v>
      </c>
      <c r="D493" t="s">
        <v>19</v>
      </c>
      <c r="E493" t="s">
        <v>14</v>
      </c>
      <c r="F493">
        <v>42</v>
      </c>
      <c r="G493">
        <v>13478</v>
      </c>
      <c r="H493">
        <v>9</v>
      </c>
      <c r="I493">
        <v>1</v>
      </c>
      <c r="J493" t="s">
        <v>20</v>
      </c>
      <c r="K493" t="s">
        <v>16</v>
      </c>
      <c r="L493" t="s">
        <v>34</v>
      </c>
      <c r="M493">
        <v>161736</v>
      </c>
      <c r="N493" t="s">
        <v>46</v>
      </c>
      <c r="O493" t="s">
        <v>52</v>
      </c>
      <c r="P493" t="s">
        <v>51</v>
      </c>
    </row>
    <row r="494" spans="1:16" x14ac:dyDescent="0.2">
      <c r="A494">
        <v>493</v>
      </c>
      <c r="B494" s="2">
        <v>41975</v>
      </c>
      <c r="C494" t="s">
        <v>12</v>
      </c>
      <c r="D494" t="s">
        <v>41</v>
      </c>
      <c r="E494" t="s">
        <v>24</v>
      </c>
      <c r="F494">
        <v>51</v>
      </c>
      <c r="G494">
        <v>8623</v>
      </c>
      <c r="H494">
        <v>8</v>
      </c>
      <c r="I494">
        <v>3</v>
      </c>
      <c r="J494" t="s">
        <v>15</v>
      </c>
      <c r="K494" t="s">
        <v>16</v>
      </c>
      <c r="L494" t="s">
        <v>34</v>
      </c>
      <c r="M494">
        <v>103476</v>
      </c>
      <c r="N494" t="s">
        <v>47</v>
      </c>
      <c r="O494" t="s">
        <v>52</v>
      </c>
      <c r="P494" t="s">
        <v>55</v>
      </c>
    </row>
    <row r="495" spans="1:16" x14ac:dyDescent="0.2">
      <c r="A495">
        <v>494</v>
      </c>
      <c r="B495" s="2">
        <v>45045</v>
      </c>
      <c r="C495" t="s">
        <v>12</v>
      </c>
      <c r="D495" t="s">
        <v>41</v>
      </c>
      <c r="E495" t="s">
        <v>14</v>
      </c>
      <c r="F495">
        <v>40</v>
      </c>
      <c r="G495">
        <v>11185</v>
      </c>
      <c r="H495">
        <v>14</v>
      </c>
      <c r="I495">
        <v>4</v>
      </c>
      <c r="J495" t="s">
        <v>15</v>
      </c>
      <c r="K495" t="s">
        <v>27</v>
      </c>
      <c r="L495" t="s">
        <v>21</v>
      </c>
      <c r="M495">
        <v>134220</v>
      </c>
      <c r="N495" t="s">
        <v>46</v>
      </c>
      <c r="O495" t="s">
        <v>52</v>
      </c>
      <c r="P495" t="s">
        <v>53</v>
      </c>
    </row>
    <row r="496" spans="1:16" x14ac:dyDescent="0.2">
      <c r="A496">
        <v>495</v>
      </c>
      <c r="B496" s="2">
        <v>43227</v>
      </c>
      <c r="C496" t="s">
        <v>12</v>
      </c>
      <c r="D496" t="s">
        <v>13</v>
      </c>
      <c r="E496" t="s">
        <v>14</v>
      </c>
      <c r="F496">
        <v>31</v>
      </c>
      <c r="G496">
        <v>12263</v>
      </c>
      <c r="H496">
        <v>8</v>
      </c>
      <c r="I496">
        <v>3</v>
      </c>
      <c r="J496" t="s">
        <v>15</v>
      </c>
      <c r="K496" t="s">
        <v>16</v>
      </c>
      <c r="L496" t="s">
        <v>34</v>
      </c>
      <c r="M496">
        <v>147156</v>
      </c>
      <c r="N496" t="s">
        <v>46</v>
      </c>
      <c r="O496" t="s">
        <v>52</v>
      </c>
      <c r="P496" t="s">
        <v>55</v>
      </c>
    </row>
    <row r="497" spans="1:16" x14ac:dyDescent="0.2">
      <c r="A497">
        <v>496</v>
      </c>
      <c r="B497" s="2">
        <v>44420</v>
      </c>
      <c r="C497" t="s">
        <v>12</v>
      </c>
      <c r="D497" t="s">
        <v>41</v>
      </c>
      <c r="E497" t="s">
        <v>24</v>
      </c>
      <c r="F497">
        <v>31</v>
      </c>
      <c r="G497">
        <v>10448</v>
      </c>
      <c r="H497">
        <v>10</v>
      </c>
      <c r="I497">
        <v>1</v>
      </c>
      <c r="J497" t="s">
        <v>20</v>
      </c>
      <c r="K497" t="s">
        <v>27</v>
      </c>
      <c r="L497" t="s">
        <v>34</v>
      </c>
      <c r="M497">
        <v>125376</v>
      </c>
      <c r="N497" t="s">
        <v>46</v>
      </c>
      <c r="O497" t="s">
        <v>52</v>
      </c>
      <c r="P497" t="s">
        <v>51</v>
      </c>
    </row>
    <row r="498" spans="1:16" x14ac:dyDescent="0.2">
      <c r="A498">
        <v>497</v>
      </c>
      <c r="B498" s="2">
        <v>44850</v>
      </c>
      <c r="C498" t="s">
        <v>30</v>
      </c>
      <c r="D498" t="s">
        <v>31</v>
      </c>
      <c r="E498" t="s">
        <v>24</v>
      </c>
      <c r="F498">
        <v>34</v>
      </c>
      <c r="G498">
        <v>17738</v>
      </c>
      <c r="H498">
        <v>0</v>
      </c>
      <c r="I498">
        <v>4</v>
      </c>
      <c r="J498" t="s">
        <v>15</v>
      </c>
      <c r="K498" t="s">
        <v>27</v>
      </c>
      <c r="L498" t="s">
        <v>34</v>
      </c>
      <c r="M498">
        <v>212856</v>
      </c>
      <c r="N498" t="s">
        <v>46</v>
      </c>
      <c r="O498" t="s">
        <v>54</v>
      </c>
      <c r="P498" t="s">
        <v>53</v>
      </c>
    </row>
    <row r="499" spans="1:16" x14ac:dyDescent="0.2">
      <c r="A499">
        <v>498</v>
      </c>
      <c r="B499" s="2">
        <v>44394</v>
      </c>
      <c r="C499" t="s">
        <v>36</v>
      </c>
      <c r="D499" t="s">
        <v>40</v>
      </c>
      <c r="E499" t="s">
        <v>14</v>
      </c>
      <c r="F499">
        <v>38</v>
      </c>
      <c r="G499">
        <v>10439</v>
      </c>
      <c r="H499">
        <v>6</v>
      </c>
      <c r="I499">
        <v>3</v>
      </c>
      <c r="J499" t="s">
        <v>20</v>
      </c>
      <c r="K499" t="s">
        <v>27</v>
      </c>
      <c r="L499" t="s">
        <v>17</v>
      </c>
      <c r="M499">
        <v>125268</v>
      </c>
      <c r="N499" t="s">
        <v>46</v>
      </c>
      <c r="O499" t="s">
        <v>50</v>
      </c>
      <c r="P499" t="s">
        <v>55</v>
      </c>
    </row>
    <row r="500" spans="1:16" x14ac:dyDescent="0.2">
      <c r="A500">
        <v>499</v>
      </c>
      <c r="B500" s="2">
        <v>41844</v>
      </c>
      <c r="C500" t="s">
        <v>22</v>
      </c>
      <c r="D500" t="s">
        <v>35</v>
      </c>
      <c r="E500" t="s">
        <v>14</v>
      </c>
      <c r="F500">
        <v>39</v>
      </c>
      <c r="G500">
        <v>4932</v>
      </c>
      <c r="H500">
        <v>4</v>
      </c>
      <c r="I500">
        <v>1</v>
      </c>
      <c r="J500" t="s">
        <v>15</v>
      </c>
      <c r="K500" t="s">
        <v>32</v>
      </c>
      <c r="L500" t="s">
        <v>21</v>
      </c>
      <c r="M500">
        <v>59184</v>
      </c>
      <c r="N500" t="s">
        <v>46</v>
      </c>
      <c r="O500" t="s">
        <v>50</v>
      </c>
      <c r="P500" t="s">
        <v>51</v>
      </c>
    </row>
    <row r="501" spans="1:16" x14ac:dyDescent="0.2">
      <c r="A501">
        <v>500</v>
      </c>
      <c r="B501" s="2">
        <v>41087</v>
      </c>
      <c r="C501" t="s">
        <v>30</v>
      </c>
      <c r="D501" t="s">
        <v>31</v>
      </c>
      <c r="E501" t="s">
        <v>14</v>
      </c>
      <c r="F501">
        <v>27</v>
      </c>
      <c r="G501">
        <v>15440</v>
      </c>
      <c r="H501">
        <v>6</v>
      </c>
      <c r="I501">
        <v>3</v>
      </c>
      <c r="J501" t="s">
        <v>20</v>
      </c>
      <c r="K501" t="s">
        <v>32</v>
      </c>
      <c r="L501" t="s">
        <v>21</v>
      </c>
      <c r="M501">
        <v>185280</v>
      </c>
      <c r="N501" t="s">
        <v>45</v>
      </c>
      <c r="O501" t="s">
        <v>50</v>
      </c>
      <c r="P501" t="s">
        <v>55</v>
      </c>
    </row>
  </sheetData>
  <phoneticPr fontId="1"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5C1C-B94C-4E6A-AA63-A912AB50B787}">
  <sheetPr>
    <pageSetUpPr fitToPage="1"/>
  </sheetPr>
  <dimension ref="X1"/>
  <sheetViews>
    <sheetView showGridLines="0" tabSelected="1" zoomScale="55" zoomScaleNormal="55" workbookViewId="0">
      <selection activeCell="AC53" sqref="AC53"/>
    </sheetView>
  </sheetViews>
  <sheetFormatPr defaultRowHeight="14.25" x14ac:dyDescent="0.2"/>
  <cols>
    <col min="23" max="24" width="9" customWidth="1"/>
  </cols>
  <sheetData/>
  <pageMargins left="0.7" right="0.7" top="0.75" bottom="0.75" header="0.3" footer="0.3"/>
  <pageSetup paperSize="8" scale="58"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9EA685-47A0-4065-AADC-5005851D4C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HR_Analytics</vt:lpstr>
      <vt:lpstr>Headcount by Department</vt:lpstr>
      <vt:lpstr>Average Salary by Department</vt:lpstr>
      <vt:lpstr>Performance Distribution</vt:lpstr>
      <vt:lpstr>Employees by Work Location</vt:lpstr>
      <vt:lpstr>Overtime Analysis</vt:lpstr>
      <vt:lpstr>KPI</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abdallah gandour</cp:lastModifiedBy>
  <cp:lastPrinted>2026-02-25T12:57:12Z</cp:lastPrinted>
  <dcterms:created xsi:type="dcterms:W3CDTF">2026-02-06T20:04:11Z</dcterms:created>
  <dcterms:modified xsi:type="dcterms:W3CDTF">2026-02-25T13:11:13Z</dcterms:modified>
</cp:coreProperties>
</file>